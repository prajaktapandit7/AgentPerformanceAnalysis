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praj_\Documents\Roku\Bot Analysis Project\"/>
    </mc:Choice>
  </mc:AlternateContent>
  <xr:revisionPtr revIDLastSave="0" documentId="13_ncr:1_{BE705A4B-716B-4F50-A743-3161B1AE3FEE}" xr6:coauthVersionLast="47" xr6:coauthVersionMax="47" xr10:uidLastSave="{00000000-0000-0000-0000-000000000000}"/>
  <bookViews>
    <workbookView xWindow="-120" yWindow="-120" windowWidth="20730" windowHeight="11040" xr2:uid="{00000000-000D-0000-FFFF-FFFF00000000}"/>
  </bookViews>
  <sheets>
    <sheet name="Conversations" sheetId="1" r:id="rId1"/>
    <sheet name="Analysis" sheetId="2" r:id="rId2"/>
  </sheets>
  <definedNames>
    <definedName name="_xlnm._FilterDatabase" localSheetId="0" hidden="1">Conversations!$A$1:$I$31</definedName>
  </definedNames>
  <calcPr calcId="191029"/>
  <pivotCaches>
    <pivotCache cacheId="7"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2" l="1"/>
  <c r="H17" i="2"/>
  <c r="H14" i="2"/>
  <c r="H11" i="2"/>
  <c r="H8" i="2"/>
  <c r="H3" i="2"/>
  <c r="F31" i="1"/>
  <c r="G31" i="1" s="1"/>
  <c r="F30" i="1"/>
  <c r="G30" i="1" s="1"/>
  <c r="F29" i="1"/>
  <c r="G29" i="1" s="1"/>
  <c r="F28" i="1"/>
  <c r="G28" i="1" s="1"/>
  <c r="F27" i="1"/>
  <c r="G27" i="1" s="1"/>
  <c r="F26" i="1"/>
  <c r="G26" i="1" s="1"/>
  <c r="F25" i="1"/>
  <c r="G25" i="1" s="1"/>
  <c r="F24" i="1"/>
  <c r="G24" i="1" s="1"/>
  <c r="F23" i="1"/>
  <c r="G23" i="1" s="1"/>
  <c r="F22" i="1"/>
  <c r="G22" i="1" s="1"/>
  <c r="F21" i="1"/>
  <c r="G21" i="1" s="1"/>
  <c r="F20" i="1"/>
  <c r="G20" i="1" s="1"/>
  <c r="F19" i="1"/>
  <c r="G19" i="1" s="1"/>
  <c r="F18" i="1"/>
  <c r="G18" i="1" s="1"/>
  <c r="F17" i="1"/>
  <c r="G17" i="1" s="1"/>
  <c r="F16" i="1"/>
  <c r="G16" i="1" s="1"/>
  <c r="F15" i="1"/>
  <c r="G15" i="1" s="1"/>
  <c r="F14" i="1"/>
  <c r="G14" i="1" s="1"/>
  <c r="F13" i="1"/>
  <c r="G13" i="1" s="1"/>
  <c r="F12" i="1"/>
  <c r="G12" i="1" s="1"/>
  <c r="F11" i="1"/>
  <c r="G11" i="1" s="1"/>
  <c r="F10" i="1"/>
  <c r="G10" i="1" s="1"/>
  <c r="F9" i="1"/>
  <c r="G9" i="1" s="1"/>
  <c r="F8" i="1"/>
  <c r="G8" i="1" s="1"/>
  <c r="F7" i="1"/>
  <c r="G7" i="1" s="1"/>
  <c r="F6" i="1"/>
  <c r="G6" i="1" s="1"/>
  <c r="F5" i="1"/>
  <c r="G5" i="1" s="1"/>
  <c r="F4" i="1"/>
  <c r="G4" i="1" s="1"/>
  <c r="F3" i="1"/>
  <c r="G3" i="1" s="1"/>
  <c r="F2" i="1"/>
  <c r="G2" i="1" s="1"/>
</calcChain>
</file>

<file path=xl/sharedStrings.xml><?xml version="1.0" encoding="utf-8"?>
<sst xmlns="http://schemas.openxmlformats.org/spreadsheetml/2006/main" count="255" uniqueCount="109">
  <si>
    <t>Question Category</t>
  </si>
  <si>
    <t>User question</t>
  </si>
  <si>
    <t>Response</t>
  </si>
  <si>
    <t>Escalated?</t>
  </si>
  <si>
    <t>Intent?</t>
  </si>
  <si>
    <t>CSAT Score</t>
  </si>
  <si>
    <t>CSAT Label</t>
  </si>
  <si>
    <t>Open Codes</t>
  </si>
  <si>
    <t>Axial Codes</t>
  </si>
  <si>
    <t>Connectivity &amp; Setup</t>
  </si>
  <si>
    <t>My Roku won’t connect to WiFi</t>
  </si>
  <si>
    <r>
      <t xml:space="preserve">I can help with that! Here are some things you can try:
- Check your Wi-Fi and password: Make sure you're connected to the correct network and have the right password.
- Test with a different device: Try connecting a phone, tablet, or laptop to the same Wi-Fi network.
- Restart your Roku device. You can do this from the Home Screen under Settings &gt; System &gt; Power &gt; System Restart. You can also unplug your device, wait 10 seconds, and plug it back in.
- Restart your router and modem by unplugging them from power, waiting 10 seconds, and plugging them back in.
Let me know if that helps!
</t>
    </r>
    <r>
      <rPr>
        <u/>
        <sz val="10"/>
        <color rgb="FF1155CC"/>
        <rFont val="Arial"/>
      </rPr>
      <t>Why won't my Roku streaming device connect to Wi-Fi?</t>
    </r>
  </si>
  <si>
    <t>No</t>
  </si>
  <si>
    <t>Accurate</t>
  </si>
  <si>
    <t>Resolved by providing steps and link to documentation</t>
  </si>
  <si>
    <t>Self-Service Resolution via Procedural Guidance</t>
  </si>
  <si>
    <t>Roku says connected but apps won’t load</t>
  </si>
  <si>
    <r>
      <t xml:space="preserve">I understand your apps aren't loading even though your Roku says it's connected. I can help with that. Let's check your connection. 
Here's how:
- Press the Home button on your Roku remote.
- Go to Settings &gt; Network &gt; Check connection.
This will test your network and internet connection. You should see a green check mark next to each successful item. After the test, a pop-up will show your connection results.
Let me know what you find.
</t>
    </r>
    <r>
      <rPr>
        <u/>
        <sz val="10"/>
        <color rgb="FF1155CC"/>
        <rFont val="Arial"/>
      </rPr>
      <t>How to check the connection on your Roku streaming devic</t>
    </r>
    <r>
      <rPr>
        <sz val="10"/>
        <color rgb="FF000000"/>
        <rFont val="Arial"/>
        <scheme val="minor"/>
      </rPr>
      <t>e</t>
    </r>
  </si>
  <si>
    <t>How do I change WiFi on Roku?</t>
  </si>
  <si>
    <r>
      <t xml:space="preserve">Are you trying to change the Wi-Fi on a Roku streaming device or a Roku Smart Home device?
streaming
Roku Support Bot
To change your Wi-Fi network on your Roku streaming device, press the Home button, then go to Settings &gt; Network &gt; Set up connection. Choose Wired or Wireless, then follow the on-screen steps. You can also use your phone's hotspot if needed. Would you like more detailed instructions?
</t>
    </r>
    <r>
      <rPr>
        <u/>
        <sz val="10"/>
        <color rgb="FF1155CC"/>
        <rFont val="Arial"/>
      </rPr>
      <t>How to connect your Roku streaming device to the internet</t>
    </r>
    <r>
      <rPr>
        <sz val="10"/>
        <color rgb="FF000000"/>
        <rFont val="Arial"/>
        <scheme val="minor"/>
      </rPr>
      <t xml:space="preserve">
yeah
Roku Support Bot
Here's a link to an article with more detailed instructions: </t>
    </r>
    <r>
      <rPr>
        <u/>
        <sz val="10"/>
        <color rgb="FF1155CC"/>
        <rFont val="Arial"/>
      </rPr>
      <t>https://support.roku.com/en-us/article/115015760328</t>
    </r>
  </si>
  <si>
    <t>My Roku keeps disconnecting from internet</t>
  </si>
  <si>
    <r>
      <t xml:space="preserve">I can help with that. Here are a few things you can try:
Step 1: Check your Wi-Fi and password. Make sure you're connected to the correct network and have the right password.
Step 2: Test with a different device. Try connecting a phone, tablet, or laptop to the same Wi-Fi network. If it doesn't work, it may be an issue with your internet.
Step 3: Restart your Roku device. From the Home Screen go to Settings &gt; System &gt; Power &gt; System Restart. You can also unplug your device, wait 10 seconds, and plug it back in.
Step 4: Restart your router and modem by unplugging them from power, waiting 10 seconds, plugging them back in, and waiting for them to restart.
Do you need help with any of these steps?
no im good
Roku Support Bot
Here are some additional steps you can try: 
Step 1: Improve placement and reduce interference by moving your Roku device and router closer to each other.
Step 2: Check your power source. If your Roku player shows a low power message or randomly restarts, plug it directly into a wall outlet instead of your TV's USB port.
Step 3: Reset your player's network connection by going to Settings &gt; Advanced system settings &gt; Network connection reset &gt; Reset connection. Then reconnect to Wi-Fi.
Do you need help with any of these steps?
</t>
    </r>
    <r>
      <rPr>
        <u/>
        <sz val="10"/>
        <color rgb="FF1155CC"/>
        <rFont val="Arial"/>
      </rPr>
      <t xml:space="preserve">How to improve the Wi-Fi or wireless internet connection to your Roku streaming device
</t>
    </r>
    <r>
      <rPr>
        <sz val="10"/>
        <color rgb="FF000000"/>
        <rFont val="Arial"/>
        <scheme val="minor"/>
      </rPr>
      <t>Was this helpful? Yes/No
kinda
Roku Support Bot
Here are a few more things you can try: 
Step 1: Reduce network congestion by pausing large downloads or streaming on other devices to free up bandwidth.
Step 2: Eliminate wireless interference by keeping your router away from cordless phones, microwaves, and baby monitors.
Step 3: If your router and Roku both support 5 GHz Wi-Fi, switch to that network. Some Roku player models can't use certain 5 GHz DFS channels (50–64 or 100–144).
Do you need help with any of these steps?</t>
    </r>
  </si>
  <si>
    <t>Resolved but continued providing steps even after user responded that they were satisfied with response (no im good)</t>
  </si>
  <si>
    <t>Over-Communication / Redundant Assistance</t>
  </si>
  <si>
    <t>Roku setup stuck on network screen</t>
  </si>
  <si>
    <t>I'm sorry to hear you are having trouble connecting to the internet. You may want to try unplugging your Roku device and your router for 10 seconds, then plug them back in. This may help resolve the issue. Would you like more information?</t>
  </si>
  <si>
    <t>Resolved by providing steps</t>
  </si>
  <si>
    <t>Playback &amp; App Issues</t>
  </si>
  <si>
    <t>Netflix won’t open on my Roku</t>
  </si>
  <si>
    <r>
      <t xml:space="preserve">I am sorry to hear that Netflix isn't opening on your Roku device. Here are a few things you can try:
- Restart your Roku device. You can do this by going to Settings &gt; System &gt; Power &gt; System restart.
- Check your Wi-Fi connection by going to Settings &gt; Network &gt; About to check the Wi-Fi status.
- Remove and reinstall the Netflix app. To do this, press the Home button, highlight the Netflix app, press the Star button, and select Remove app. Then, reinstall it from the Roku Channel Store.
I hope this helps!
</t>
    </r>
    <r>
      <rPr>
        <u/>
        <sz val="10"/>
        <color rgb="FF1155CC"/>
        <rFont val="Arial"/>
      </rPr>
      <t>Issues playing shows and movies on your Roku device</t>
    </r>
  </si>
  <si>
    <t>Hulu keeps crashing</t>
  </si>
  <si>
    <t>I am sorry to hear you are experiencing crashing issues with Hulu. There may be several reasons why content will not play or is poor quality. You may want to first try other titles from the same streaming app. If other titles also don't play correctly, visit the provider's website to see if there's a service interruption or outage.</t>
  </si>
  <si>
    <t>Not accurate</t>
  </si>
  <si>
    <t>Why is my Roku screen black?</t>
  </si>
  <si>
    <r>
      <t xml:space="preserve">I'm sorry to hear you're seeing a black screen on your Roku TV. I can help with that. Here are some things you can try:
Step 1: Make sure your TV is turned on. Press a button on your Roku remote to confirm the TV isn't just in standby or screensaver mode.
Step 2: Make sure your Roku player is connected directly to the TV by unplugging it from any audio/video receiver (AVR) or soundbar.
Step 3: If your Roku player has a video cable, make sure it is firmly connected on both ends.
Need help with any of these steps?
</t>
    </r>
    <r>
      <rPr>
        <u/>
        <sz val="10"/>
        <color rgb="FF1155CC"/>
        <rFont val="Arial"/>
      </rPr>
      <t>Fix a Roku TV that has a black screen</t>
    </r>
  </si>
  <si>
    <t>Video keeps buffering on Roku</t>
  </si>
  <si>
    <t>There may be several reasons why content will not play, is poor quality, or frequently starts and stops. You can try playing other titles from the same streaming app. If other titles also will not play, visit the streaming service's website to see if there's a service interruption or outage.</t>
  </si>
  <si>
    <t>Roku remote works but TV doesn’t respond</t>
  </si>
  <si>
    <t>To make sure we provide the correct information, does your remote have a microphone or magnifying glass button for voice control?
A voice remote has a microphone or magnifying glass button.
Please ask your agent to describe the image
yes
Roku Support Bot
Here are a few things you can try:
Step 1: Update your Roku player's software: Settings &gt; System &gt; System update &gt; Check now
Step 2: After the restart, set up TV control again: Settings &gt; Remotes &amp; devices &gt; Remotes &gt; [Your remote] &gt; Set up remote for TV control
Step 3: Turn on CEC on your TV. You can usually find this in your TV settings.</t>
  </si>
  <si>
    <t>Account &amp; Billing</t>
  </si>
  <si>
    <t>I was charged but didn’t buy anything</t>
  </si>
  <si>
    <t>We may need to access your Roku account to help with your request.
Please sign in to your Roku account to continue.
 Sign In
 No thanks
Ok, I understand, just a moment while I check some general information that may help.
Can you confirm if the charge is from Roku, or if you signed up directly with the streaming service provider? You can verify the charge is from Roku if your billing statement says "Roku" or "Roku for..." or "The Roku Channel".
Roku
Roku Support Bot
If there's a charge you don't recognize on your Roku account, it may be helpful to review the purchase history. You can also check if a free trial turned into a subscription. Would you like more information on either of those topics?
ok
Roku Support Bot
To view your Roku purchase history, you can sign in to my.roku.com, then go to "Purchase history and invoices". This may help you review your invoices for content or products. Does that help?</t>
  </si>
  <si>
    <t>How do I cancel a subscription on Roku?</t>
  </si>
  <si>
    <r>
      <t xml:space="preserve">We may need to access your Roku account to help with canceling your Roku subscription.
Please sign in to your Roku account to continue.
 No thanks
No thanks
Roku Support Bot
Ok, I will need just a moment to find some general information about canceling subscriptions on Roku.
You can manage subscriptions you signed up for through Roku at my.roku.com/subscriptions. You can also manage subscriptions directly on your Roku device by selecting the app and pressing the * button on your remote, then selecting 'Manage subscription.' Is there anything else I can help with?
Roku Support Bot
</t>
    </r>
    <r>
      <rPr>
        <u/>
        <sz val="10"/>
        <color rgb="FF1155CC"/>
        <rFont val="Arial"/>
      </rPr>
      <t>Manage or cancel subscriptions on Roku</t>
    </r>
  </si>
  <si>
    <t>I forgot my Roku password</t>
  </si>
  <si>
    <r>
      <t xml:space="preserve">You can reset your password by going to my.roku.com/password/reset. A password reset email will be sent to the email address linked to your Roku account. The email includes a link that is valid for one hour. After you reset your password, you can sign in at my.roku.com with your new password.
</t>
    </r>
    <r>
      <rPr>
        <u/>
        <sz val="10"/>
        <color rgb="FF1155CC"/>
        <rFont val="Arial"/>
      </rPr>
      <t>If you forgot your Roku password or email</t>
    </r>
  </si>
  <si>
    <t>How do I update my payment method?</t>
  </si>
  <si>
    <r>
      <t xml:space="preserve">You can update your payment method on the Roku website by signing in to my.roku.com, selecting 'Payment methods', and then editing your information. You can also update it on your Roku device by going to 'Settings' &gt; 'Payment method' &gt; 'Update payment method'. Is there anything else I can help you with?
</t>
    </r>
    <r>
      <rPr>
        <u/>
        <sz val="10"/>
        <color rgb="FF1155CC"/>
        <rFont val="Arial"/>
      </rPr>
      <t>Add, update, or remove the payment method in your Roku account</t>
    </r>
  </si>
  <si>
    <t>Why do I see charges from Roku?</t>
  </si>
  <si>
    <r>
      <t xml:space="preserve">We may need to access your Roku account to help with your inquiry about Roku charges.
Please sign in to your Roku account to continue.
 No thanks
No thanks
Roku Support Bot
I understand, I'll take a moment to gather some general information about Roku charges to see if we can assist you further.
To clarify, are you seeing a charge from "Roku", "Roku for...", or "The Roku Channel" on your billing statement?
I see The Roku Channel
Roku Support Bot
The Roku Channel is always free. However, if you subscribe to a Premium Subscription through The Roku Channel (like AMC+), you'll see a charge from "The Roku Channel." Does this sound like your situation?
</t>
    </r>
    <r>
      <rPr>
        <u/>
        <sz val="10"/>
        <color rgb="FF1155CC"/>
        <rFont val="Arial"/>
      </rPr>
      <t>If there's a charge you don't recognize on your Roku account</t>
    </r>
  </si>
  <si>
    <t>Remote &amp; Hardware</t>
  </si>
  <si>
    <t>My Roku remote stopped working</t>
  </si>
  <si>
    <t>To make sure we provide the correct information, does your remote have a microphone or magnifying glass button for voice control?
A voice remote has a microphone or magnifying glass button.
Please ask your agent to describe the image
nope
Roku Support Bot
Ok, so it sounds like you have a simple remote. To get your simple remote working again, make sure there's nothing blocking the front of your Roku device. Also, try new batteries. Does that help?
yeah
Roku Support Bot
Great! Is there anything else I can help you with today?</t>
  </si>
  <si>
    <t>How do I pair my Roku remote?</t>
  </si>
  <si>
    <r>
      <t xml:space="preserve">To pair your Roku voice remote:
- Put your Roku device into pairing mode by going to Settings &gt; Remotes &amp; devices &gt; Add devices &gt; Remote &gt; Continue.
- Then, sync your Roku remote by pressing and holding the pairing button for 5 seconds until the status light flashes.
Is there anything else I can help with?
</t>
    </r>
    <r>
      <rPr>
        <u/>
        <sz val="10"/>
        <color rgb="FF1155CC"/>
        <rFont val="Arial"/>
      </rPr>
      <t>How to set up and pair your Roku voice remote</t>
    </r>
  </si>
  <si>
    <t>Roku remote volume not working</t>
  </si>
  <si>
    <r>
      <t xml:space="preserve">To make sure we provide the correct information, does your remote have a microphone or magnifying glass button for voice control?
A voice remote has a microphone or magnifying glass button.
Please ask your agent to describe the image
i think so
Roku Support Bot
To be sure, does your remote have a microphone button?
i guess yeah
Roku Support Bot
Got it. Here are some things you can try: First, point the remote directly at the TV's sensor, which is usually located in the front of the TV. If that works, your remote is using IR. If it doesn't work, try enabling CEC on your TV and redoing the Roku remote setup. Would you like help with enabling CEC?
idk what that is
Roku Support Bot
CEC, or Consumer Electronics Control, allows you to control devices connected to your TV with one remote. For example, you can use your Roku remote to control the volume on your soundbar. Want to try enabling CEC?
</t>
    </r>
    <r>
      <rPr>
        <u/>
        <sz val="10"/>
        <color rgb="FF1155CC"/>
        <rFont val="Arial"/>
      </rPr>
      <t>How to enable HDMI-CEC and ARC on your TV</t>
    </r>
    <r>
      <rPr>
        <sz val="10"/>
        <color rgb="FF000000"/>
        <rFont val="Arial"/>
        <scheme val="minor"/>
      </rPr>
      <t xml:space="preserve">
okay
Roku Support Bot
Enabling CEC may allow your Roku remote to control the volume. After enabling CEC, you may need to set up the remote for TV control again. You can do this by going to Settings &gt; Remotes &amp; devices &gt; Remotes &gt; Set up remote for TV control. Would you like help with these steps?
</t>
    </r>
    <r>
      <rPr>
        <u/>
        <sz val="10"/>
        <color rgb="FF1155CC"/>
        <rFont val="Arial"/>
      </rPr>
      <t>How to set up your Roku voice remote to control your TV</t>
    </r>
  </si>
  <si>
    <t>Resolved by providing steps; asked good questions despite initial user ambiguity</t>
  </si>
  <si>
    <t>Clarification-Driven Successful Resolution</t>
  </si>
  <si>
    <t>Can I use my phone as a remote?</t>
  </si>
  <si>
    <r>
      <t xml:space="preserve">Yes, you can use your phone as a remote by using the Roku mobile app. You can use it to control your Roku TV or streaming player. Would you like to know more about how to use the Roku mobile app as a remote?
A voice remote has a microphone or magnifying glass button.
Please ask your agent to describe the image
</t>
    </r>
    <r>
      <rPr>
        <u/>
        <sz val="10"/>
        <color rgb="FF1155CC"/>
        <rFont val="Arial"/>
      </rPr>
      <t>How to use the Roku mobile app to control your Roku streaming device without a remote</t>
    </r>
    <r>
      <rPr>
        <sz val="10"/>
        <color rgb="FF000000"/>
        <rFont val="Arial"/>
        <scheme val="minor"/>
      </rPr>
      <t xml:space="preserve">
tell me more
Roku Support Bot
You can install the Roku mobile app on your iOS or Android device. Then, make sure both your mobile device and Roku device are connected to the same Wi-Fi network. After that, launch the Roku mobile app and connect to your Roku device. Does that help?</t>
    </r>
  </si>
  <si>
    <t>Roku device overheating</t>
  </si>
  <si>
    <r>
      <t xml:space="preserve">I can help with that! Here are some things you can do if your Roku is overheating:
- Keep your device cool: Don't put your Roku near high temperatures, humidity, or direct sunlight.
- Ventilation is important: Make sure nothing is covering your device, and that it's in an open location. Also, don't put it on soft surfaces.
- Avoid stacking: Don't stack other devices on top of your Roku.
After that, wait 10 minutes, plug it back in, and wait for it to power on. 
Is there anything else I can help with?
</t>
    </r>
    <r>
      <rPr>
        <u/>
        <sz val="10"/>
        <color rgb="FF1155CC"/>
        <rFont val="Arial"/>
      </rPr>
      <t>What to do if the red light is on or you see a “Your device is overheating” message</t>
    </r>
  </si>
  <si>
    <t>Ambiguous</t>
  </si>
  <si>
    <t>Roku is not working</t>
  </si>
  <si>
    <t>Are you experiencing issues with audio, video, connectivity, or your remote?
connectivity
Roku Support Bot
If your Roku device is not connecting to Wi-Fi, you can check your Wi-Fi and password, test with a different device, restart your Roku device, and restart your router and modem. Would you like detailed steps for these actions?
yeahh
Roku Support Bot
To check your Wi-Fi and password, make sure you're connected to the correct network and have the right password. If you are unsure, contact the person who set up the network. To test with a different device, try connecting a phone, tablet, or laptop to the same Wi-Fi network. If it doesn't work, contact your Internet provider. To restart your Roku device, on the Home Screen go to Settings &gt; System &gt; Power &gt; System Restart. You can also unplug your device, wait 10 seconds, and plug it back in. To restart your router and modem, unplug both from power, wait 10 seconds, plug the router and modem back in and wait for them to restart.</t>
  </si>
  <si>
    <t>My TV is acting weird</t>
  </si>
  <si>
    <t>Gotcha. To help me figure out what's going on, can you tell me more about what's acting weird? For example, is there no picture, sound, or something else?
something else
I'm not quite sure how to help with that. Would you like me to connect you with an advisor?</t>
  </si>
  <si>
    <t>Yes</t>
  </si>
  <si>
    <t>Unresolved due to user ambiguity and escalated to human</t>
  </si>
  <si>
    <t>Escalation Due to User Ambiguity</t>
  </si>
  <si>
    <t>Nothing is loading</t>
  </si>
  <si>
    <t>Are you experiencing this issue with a specific channel, or is it happening across multiple channels?
multiple channels
Roku Support Bot
I can share some troubleshooting steps. First, restart your Roku device. You can either unplug the power cable, wait a moment, and then reconnect it. Alternatively, you can restart it from the Settings menu by pressing Home on your Roku remote, then selecting Settings &gt; System &gt; Power (if you do not see a Power submenu, skip to the next step) &gt; System restart. Let me know if you need help with any of these steps.</t>
  </si>
  <si>
    <t>I need help now</t>
  </si>
  <si>
    <t>How can I help you today?
i dont know im confused
I'm sorry to hear that you're feeling confused. Would you like me to connect you with an advisor for more help?</t>
  </si>
  <si>
    <t>This is so frustrating</t>
  </si>
  <si>
    <t>To assist you better, could you please describe the issue you're experiencing with your Roku device?
everything is going wrong
Roku Support Bot
Are you experiencing issues with audio, video, connectivity, or your remote?
everything
Roku Support Bot
It sounds like you're experiencing multiple issues. Would you like me to connect you with an advisor for further assistance?</t>
  </si>
  <si>
    <t>Unresolved due to issue complexity and escalated to human</t>
  </si>
  <si>
    <t>Escalation Due to Technical Complexity</t>
  </si>
  <si>
    <t>Advanced</t>
  </si>
  <si>
    <t>I already tried restarting and it didn’t work</t>
  </si>
  <si>
    <r>
      <t xml:space="preserve">To clarify, is your Roku TV stuck on the logo screen, or is it experiencing a different issue?
yeah its the roku city thing
Roku Support Bot
I understand your Roku TV is stuck on the Roku city screen. There are a few things you can try. Have you tried factory resetting your TV?
wont i lose all my settings if i do that
Roku Support Bot
Yes, a factory reset will erase your personal preferences, unlink your device from your Roku account, and reset all settings. After the reset, you'll need to go through the guided setup process again.
</t>
    </r>
    <r>
      <rPr>
        <u/>
        <sz val="10"/>
        <color rgb="FF1155CC"/>
        <rFont val="Arial"/>
      </rPr>
      <t>Factory reset your Roku TV, player, or projector</t>
    </r>
    <r>
      <rPr>
        <sz val="10"/>
        <color rgb="FF000000"/>
        <rFont val="Arial"/>
        <scheme val="minor"/>
      </rPr>
      <t xml:space="preserve">
no i dont want to have to redo everything
Roku Support Bot
I understand you'd prefer not to do a factory reset. There's another option you can try called Recovery Mode, which reinstalls the Roku software. This is a deeper reset but might help. Want to give that a try?
</t>
    </r>
    <r>
      <rPr>
        <u/>
        <sz val="10"/>
        <color rgb="FF1155CC"/>
        <rFont val="Arial"/>
      </rPr>
      <t>My Roku TV keeps restarting or is stuck on the logo screen</t>
    </r>
    <r>
      <rPr>
        <sz val="10"/>
        <color rgb="FF000000"/>
        <rFont val="Arial"/>
        <scheme val="minor"/>
      </rPr>
      <t xml:space="preserve">
promise i wont lose my settings?
Roku Support Bot
Recovery Mode may erase all data and reload the Roku software, so it may have the same effect as a factory reset. If your TV doesn't show the Recovery Mode screen after 30 seconds, it may not support Recovery Mode or may need to be replaced. Would you like me to connect you with an advisor who can help further?</t>
    </r>
  </si>
  <si>
    <t>Mixed</t>
  </si>
  <si>
    <t>I spoke to support yesterday and it’s still broken</t>
  </si>
  <si>
    <t>I'm sorry to hear that the issue is still unresolved. Would you like me to connect you with an advisor for further assistance?</t>
  </si>
  <si>
    <t>Unresolved due to issue severity and escalated to human</t>
  </si>
  <si>
    <t>Escalation Due to Severity / Risk</t>
  </si>
  <si>
    <t>Why does Roku suck lately?</t>
  </si>
  <si>
    <r>
      <t xml:space="preserve">Are you experiencing issues with streaming quality, app loading, or something else?
streaming quality &amp; app loading
Roku Support Bot
There may be several reasons that content will not play, is poor quality, or frequently starts and stops on your Roku device. Here are some troubleshooting steps:
Step 1: Try playing a video from another app, like The Roku Channel.
Step 2: Check your Wi-Fi connection by going to Settings &gt; Network &gt; About.
Step 3: Restart your Roku device by going to Settings &gt; System &gt; Power &gt; System restart. Let me know if you need help with any of these steps.
</t>
    </r>
    <r>
      <rPr>
        <u/>
        <sz val="10"/>
        <color rgb="FF1155CC"/>
        <rFont val="Arial"/>
      </rPr>
      <t>Issues playing shows and movies on your Roku device</t>
    </r>
    <r>
      <rPr>
        <sz val="10"/>
        <color rgb="FF000000"/>
        <rFont val="Arial"/>
        <scheme val="minor"/>
      </rPr>
      <t xml:space="preserve">
</t>
    </r>
    <r>
      <rPr>
        <u/>
        <sz val="10"/>
        <color rgb="FF1155CC"/>
        <rFont val="Arial"/>
      </rPr>
      <t>How to check the connection on your Roku streaming device</t>
    </r>
  </si>
  <si>
    <t>Can I talk to a human?</t>
  </si>
  <si>
    <t>I can connect you with a Roku advisor. What's the reason for your inquiry today?</t>
  </si>
  <si>
    <t>Resolved, escalated to human based on explicit user request</t>
  </si>
  <si>
    <t>User-Initiated Escalation</t>
  </si>
  <si>
    <t>This used to work before the update</t>
  </si>
  <si>
    <t>To clarify, are you experiencing issues with audio, video, connectivity, or your remote?
audio
Roku Support Bot
I can share some troubleshooting steps. First, check the volume level and mute settings on your TV. Make sure mute is OFF and that the volume setting is at an appropriately audible level. If you need help, check the documentation for your TV manufacturer. Second, if you are using a composite cable, check that the audio connectors are snugly attached at both ends. Composite audio cables commonly have a red or white connector. Finally, connect the Roku player to a different input and see if you can now hear sound. If you can, then there is a problem with the previous input on the TV.</t>
  </si>
  <si>
    <t>COUNTA of User question</t>
  </si>
  <si>
    <t>Containment Rate</t>
  </si>
  <si>
    <t>Grand Total</t>
  </si>
  <si>
    <t>Intent Accuracy</t>
  </si>
  <si>
    <t>Recontact Rate</t>
  </si>
  <si>
    <t>(assuming recontact needed for non-accurate intent)</t>
  </si>
  <si>
    <t>Positive</t>
  </si>
  <si>
    <t>Resolved → +1</t>
  </si>
  <si>
    <t>Positive CSAT</t>
  </si>
  <si>
    <t>Negative</t>
  </si>
  <si>
    <t>Innacurate/confused → -1</t>
  </si>
  <si>
    <t>Neutral</t>
  </si>
  <si>
    <t>Escalation → -1</t>
  </si>
  <si>
    <t>Negative CSAT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</si>
</sst>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0"/>
      <color rgb="FF000000"/>
      <name val="Arial"/>
      <scheme val="minor"/>
    </font>
    <font>
      <b/>
      <sz val="10"/>
      <color theme="1"/>
      <name val="Arial"/>
      <scheme val="minor"/>
    </font>
    <font>
      <sz val="10"/>
      <color theme="1"/>
      <name val="Arial"/>
      <scheme val="minor"/>
    </font>
    <font>
      <u/>
      <sz val="10"/>
      <color rgb="FF0000FF"/>
      <name val="Arial"/>
    </font>
    <font>
      <u/>
      <sz val="10"/>
      <color rgb="FF1155CC"/>
      <name val="Arial"/>
    </font>
    <font>
      <b/>
      <sz val="10"/>
      <color theme="1"/>
      <name val="Arial"/>
      <family val="2"/>
      <scheme val="minor"/>
    </font>
    <font>
      <b/>
      <sz val="10"/>
      <color rgb="FF000000"/>
      <name val="Arial"/>
      <family val="2"/>
      <scheme val="minor"/>
    </font>
  </fonts>
  <fills count="4">
    <fill>
      <patternFill patternType="none"/>
    </fill>
    <fill>
      <patternFill patternType="gray125"/>
    </fill>
    <fill>
      <patternFill patternType="solid">
        <fgColor rgb="FFEFEFEF"/>
        <bgColor rgb="FFEFEFEF"/>
      </patternFill>
    </fill>
    <fill>
      <patternFill patternType="solid">
        <fgColor theme="4" tint="0.79998168889431442"/>
        <bgColor indexed="64"/>
      </patternFill>
    </fill>
  </fills>
  <borders count="7">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24">
    <xf numFmtId="0" fontId="0" fillId="0" borderId="0" xfId="0" applyFont="1" applyAlignment="1"/>
    <xf numFmtId="0" fontId="1" fillId="2" borderId="0" xfId="0" applyFont="1" applyFill="1" applyAlignment="1"/>
    <xf numFmtId="0" fontId="1" fillId="2" borderId="0" xfId="0" applyFont="1" applyFill="1" applyAlignment="1"/>
    <xf numFmtId="0" fontId="2" fillId="2" borderId="0" xfId="0" applyFont="1" applyFill="1"/>
    <xf numFmtId="0" fontId="2" fillId="0" borderId="0" xfId="0" applyFont="1" applyAlignment="1"/>
    <xf numFmtId="0" fontId="2" fillId="0" borderId="0" xfId="0" applyFont="1" applyAlignment="1"/>
    <xf numFmtId="0" fontId="3" fillId="0" borderId="0" xfId="0" applyFont="1" applyAlignment="1"/>
    <xf numFmtId="0" fontId="2" fillId="0" borderId="0" xfId="0" applyFont="1"/>
    <xf numFmtId="0" fontId="2" fillId="0" borderId="0" xfId="0" applyFont="1" applyAlignment="1">
      <alignment wrapText="1"/>
    </xf>
    <xf numFmtId="0" fontId="2" fillId="0" borderId="0" xfId="0" applyFont="1" applyAlignment="1">
      <alignment wrapText="1"/>
    </xf>
    <xf numFmtId="0" fontId="0" fillId="0" borderId="0" xfId="0" applyFont="1" applyAlignment="1"/>
    <xf numFmtId="0" fontId="0" fillId="0" borderId="1" xfId="0" applyFont="1" applyBorder="1" applyAlignment="1"/>
    <xf numFmtId="0" fontId="0" fillId="0" borderId="2" xfId="0" applyNumberFormat="1" applyFont="1" applyBorder="1" applyAlignment="1"/>
    <xf numFmtId="0" fontId="0" fillId="0" borderId="3" xfId="0" applyFont="1" applyBorder="1" applyAlignment="1"/>
    <xf numFmtId="0" fontId="0" fillId="0" borderId="4" xfId="0" applyNumberFormat="1" applyFont="1" applyBorder="1" applyAlignment="1"/>
    <xf numFmtId="0" fontId="5" fillId="0" borderId="0" xfId="0" applyFont="1" applyAlignment="1"/>
    <xf numFmtId="9" fontId="5" fillId="0" borderId="0" xfId="0" applyNumberFormat="1" applyFont="1"/>
    <xf numFmtId="0" fontId="6" fillId="0" borderId="0" xfId="0" applyFont="1" applyAlignment="1"/>
    <xf numFmtId="164" fontId="5" fillId="0" borderId="0" xfId="0" applyNumberFormat="1" applyFont="1"/>
    <xf numFmtId="0" fontId="6" fillId="3" borderId="1" xfId="0" applyFont="1" applyFill="1" applyBorder="1" applyAlignment="1"/>
    <xf numFmtId="0" fontId="6" fillId="3" borderId="2" xfId="0" applyFont="1" applyFill="1" applyBorder="1" applyAlignment="1"/>
    <xf numFmtId="0" fontId="6" fillId="0" borderId="5" xfId="0" applyFont="1" applyBorder="1" applyAlignment="1"/>
    <xf numFmtId="0" fontId="6" fillId="0" borderId="6" xfId="0" applyNumberFormat="1" applyFont="1" applyBorder="1" applyAlignment="1"/>
    <xf numFmtId="0" fontId="3" fillId="0" borderId="0" xfId="0" applyFont="1" applyAlignment="1">
      <alignment wrapText="1"/>
    </xf>
  </cellXfs>
  <cellStyles count="1">
    <cellStyle name="Normal" xfId="0" builtinId="0"/>
  </cellStyles>
  <dxfs count="32">
    <dxf>
      <font>
        <b/>
        <family val="2"/>
      </font>
    </dxf>
    <dxf>
      <font>
        <b/>
        <family val="2"/>
      </font>
    </dxf>
    <dxf>
      <font>
        <b/>
        <family val="2"/>
      </font>
    </dxf>
    <dxf>
      <font>
        <b/>
        <family val="2"/>
      </font>
    </dxf>
    <dxf>
      <font>
        <b/>
        <family val="2"/>
      </font>
    </dxf>
    <dxf>
      <font>
        <b/>
        <family val="2"/>
      </font>
    </dxf>
    <dxf>
      <font>
        <b/>
        <family val="2"/>
      </font>
    </dxf>
    <dxf>
      <font>
        <b/>
        <family val="2"/>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Prajakta Pandit" refreshedDate="46042.008729629626" refreshedVersion="8" recordCount="30" xr:uid="{00000000-000A-0000-FFFF-FFFF00000000}">
  <cacheSource type="worksheet">
    <worksheetSource ref="A1:I31" sheet="Conversations"/>
  </cacheSource>
  <cacheFields count="9">
    <cacheField name="Question Category" numFmtId="0">
      <sharedItems/>
    </cacheField>
    <cacheField name="User question" numFmtId="0">
      <sharedItems/>
    </cacheField>
    <cacheField name="Response" numFmtId="0">
      <sharedItems/>
    </cacheField>
    <cacheField name="Escalated?" numFmtId="0">
      <sharedItems count="2">
        <s v="No"/>
        <s v="Yes"/>
      </sharedItems>
    </cacheField>
    <cacheField name="Intent?" numFmtId="0">
      <sharedItems count="3">
        <s v="Accurate"/>
        <s v="Not accurate"/>
        <s v="Mixed"/>
      </sharedItems>
    </cacheField>
    <cacheField name="CSAT Score" numFmtId="0">
      <sharedItems containsSemiMixedTypes="0" containsString="0" containsNumber="1" containsInteger="1" minValue="-1" maxValue="1"/>
    </cacheField>
    <cacheField name="CSAT Label" numFmtId="0">
      <sharedItems count="3">
        <s v="Positive"/>
        <s v="Neutral"/>
        <s v="Negative"/>
      </sharedItems>
    </cacheField>
    <cacheField name="Open Codes" numFmtId="0">
      <sharedItems/>
    </cacheField>
    <cacheField name="Axial Codes" numFmtId="0">
      <sharedItems count="7">
        <s v="Self-Service Resolution via Procedural Guidance"/>
        <s v="Over-Communication / Redundant Assistance"/>
        <s v="Clarification-Driven Successful Resolution"/>
        <s v="Escalation Due to User Ambiguity"/>
        <s v="Escalation Due to Technical Complexity"/>
        <s v="Escalation Due to Severity / Risk"/>
        <s v="User-Initiated Escalatio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Connectivity &amp; Setup"/>
    <s v="My Roku won’t connect to WiFi"/>
    <s v="I can help with that! Here are some things you can try:_x000a__x000a_- Check your Wi-Fi and password: Make sure you're connected to the correct network and have the right password._x000a_- Test with a different device: Try connecting a phone, tablet, or laptop to the same "/>
    <x v="0"/>
    <x v="0"/>
    <n v="1"/>
    <x v="0"/>
    <s v="Resolved by providing steps and link to documentation"/>
    <x v="0"/>
  </r>
  <r>
    <s v="Connectivity &amp; Setup"/>
    <s v="Roku says connected but apps won’t load"/>
    <s v="I understand your apps aren't loading even though your Roku says it's connected. I can help with that. Let's check your connection. _x000a__x000a_Here's how:_x000a_- Press the Home button on your Roku remote._x000a_- Go to Settings &gt; Network &gt; Check connection._x000a__x000a_This will test y"/>
    <x v="0"/>
    <x v="0"/>
    <n v="1"/>
    <x v="0"/>
    <s v="Resolved by providing steps and link to documentation"/>
    <x v="0"/>
  </r>
  <r>
    <s v="Connectivity &amp; Setup"/>
    <s v="How do I change WiFi on Roku?"/>
    <s v="Are you trying to change the Wi-Fi on a Roku streaming device or a Roku Smart Home device?_x000a__x000a_streaming_x000a__x000a_Roku Support Bot_x000a_To change your Wi-Fi network on your Roku streaming device, press the Home button, then go to Settings &gt; Network &gt; Set up connection. C"/>
    <x v="0"/>
    <x v="0"/>
    <n v="1"/>
    <x v="0"/>
    <s v="Resolved by providing steps and link to documentation"/>
    <x v="0"/>
  </r>
  <r>
    <s v="Connectivity &amp; Setup"/>
    <s v="My Roku keeps disconnecting from internet"/>
    <s v="I can help with that. Here are a few things you can try:_x000a__x000a_Step 1: Check your Wi-Fi and password. Make sure you're connected to the correct network and have the right password._x000a__x000a_Step 2: Test with a different device. Try connecting a phone, tablet, or lapto"/>
    <x v="0"/>
    <x v="0"/>
    <n v="0"/>
    <x v="1"/>
    <s v="Resolved but continued providing steps even after user responded that they were satisfied with response (no im good)"/>
    <x v="1"/>
  </r>
  <r>
    <s v="Connectivity &amp; Setup"/>
    <s v="Roku setup stuck on network screen"/>
    <s v="I'm sorry to hear you are having trouble connecting to the internet. You may want to try unplugging your Roku device and your router for 10 seconds, then plug them back in. This may help resolve the issue. Would you like more information?"/>
    <x v="0"/>
    <x v="0"/>
    <n v="1"/>
    <x v="0"/>
    <s v="Resolved by providing steps"/>
    <x v="0"/>
  </r>
  <r>
    <s v="Playback &amp; App Issues"/>
    <s v="Netflix won’t open on my Roku"/>
    <s v="I am sorry to hear that Netflix isn't opening on your Roku device. Here are a few things you can try:_x000a__x000a_- Restart your Roku device. You can do this by going to Settings &gt; System &gt; Power &gt; System restart._x000a_- Check your Wi-Fi connection by going to Settings &gt;"/>
    <x v="0"/>
    <x v="0"/>
    <n v="1"/>
    <x v="0"/>
    <s v="Resolved by providing steps and link to documentation"/>
    <x v="0"/>
  </r>
  <r>
    <s v="Playback &amp; App Issues"/>
    <s v="Hulu keeps crashing"/>
    <s v="I am sorry to hear you are experiencing crashing issues with Hulu. There may be several reasons why content will not play or is poor quality. You may want to first try other titles from the same streaming app. If other titles also don't play correctly, vi"/>
    <x v="0"/>
    <x v="1"/>
    <n v="-1"/>
    <x v="2"/>
    <s v="Resolved by providing steps"/>
    <x v="0"/>
  </r>
  <r>
    <s v="Playback &amp; App Issues"/>
    <s v="Why is my Roku screen black?"/>
    <s v="I'm sorry to hear you're seeing a black screen on your Roku TV. I can help with that. Here are some things you can try:_x000a__x000a_Step 1: Make sure your TV is turned on. Press a button on your Roku remote to confirm the TV isn't just in standby or screensaver mode"/>
    <x v="0"/>
    <x v="0"/>
    <n v="1"/>
    <x v="0"/>
    <s v="Resolved by providing steps and link to documentation"/>
    <x v="0"/>
  </r>
  <r>
    <s v="Playback &amp; App Issues"/>
    <s v="Video keeps buffering on Roku"/>
    <s v="There may be several reasons why content will not play, is poor quality, or frequently starts and stops. You can try playing other titles from the same streaming app. If other titles also will not play, visit the streaming service's website to see if ther"/>
    <x v="0"/>
    <x v="0"/>
    <n v="1"/>
    <x v="0"/>
    <s v="Resolved by providing steps"/>
    <x v="0"/>
  </r>
  <r>
    <s v="Playback &amp; App Issues"/>
    <s v="Roku remote works but TV doesn’t respond"/>
    <s v="To make sure we provide the correct information, does your remote have a microphone or magnifying glass button for voice control?_x000a_A voice remote has a microphone or magnifying glass button._x000a_Please ask your agent to describe the image_x000a__x000a_yes_x000a__x000a_Roku Support Bo"/>
    <x v="0"/>
    <x v="0"/>
    <n v="1"/>
    <x v="0"/>
    <s v="Resolved by providing steps"/>
    <x v="0"/>
  </r>
  <r>
    <s v="Account &amp; Billing"/>
    <s v="I was charged but didn’t buy anything"/>
    <s v="We may need to access your Roku account to help with your request._x000a_Please sign in to your Roku account to continue._x000a_ Sign In_x000a_ No thanks_x000a__x000a_Ok, I understand, just a moment while I check some general information that may help._x000a_Can you confirm if the charge is"/>
    <x v="0"/>
    <x v="0"/>
    <n v="1"/>
    <x v="0"/>
    <s v="Resolved by providing steps"/>
    <x v="0"/>
  </r>
  <r>
    <s v="Account &amp; Billing"/>
    <s v="How do I cancel a subscription on Roku?"/>
    <s v="We may need to access your Roku account to help with canceling your Roku subscription._x000a_Please sign in to your Roku account to continue._x000a_ No thanks_x000a__x000a_No thanks_x000a__x000a_Roku Support Bot_x000a_Ok, I will need just a moment to find some general information about canceling "/>
    <x v="0"/>
    <x v="0"/>
    <n v="1"/>
    <x v="0"/>
    <s v="Resolved by providing steps and link to documentation"/>
    <x v="0"/>
  </r>
  <r>
    <s v="Account &amp; Billing"/>
    <s v="I forgot my Roku password"/>
    <s v="You can reset your password by going to my.roku.com/password/reset. A password reset email will be sent to the email address linked to your Roku account. The email includes a link that is valid for one hour. After you reset your password, you can sign in "/>
    <x v="0"/>
    <x v="0"/>
    <n v="1"/>
    <x v="0"/>
    <s v="Resolved by providing steps and link to documentation"/>
    <x v="0"/>
  </r>
  <r>
    <s v="Account &amp; Billing"/>
    <s v="How do I update my payment method?"/>
    <s v="You can update your payment method on the Roku website by signing in to my.roku.com, selecting 'Payment methods', and then editing your information. You can also update it on your Roku device by going to 'Settings' &gt; 'Payment method' &gt; 'Update payment met"/>
    <x v="0"/>
    <x v="0"/>
    <n v="1"/>
    <x v="0"/>
    <s v="Resolved by providing steps and link to documentation"/>
    <x v="0"/>
  </r>
  <r>
    <s v="Account &amp; Billing"/>
    <s v="Why do I see charges from Roku?"/>
    <s v="We may need to access your Roku account to help with your inquiry about Roku charges._x000a_Please sign in to your Roku account to continue._x000a_ No thanks_x000a__x000a_No thanks_x000a__x000a_Roku Support Bot_x000a_I understand, I'll take a moment to gather some general information about Roku c"/>
    <x v="0"/>
    <x v="0"/>
    <n v="1"/>
    <x v="0"/>
    <s v="Resolved by providing steps and link to documentation"/>
    <x v="0"/>
  </r>
  <r>
    <s v="Remote &amp; Hardware"/>
    <s v="My Roku remote stopped working"/>
    <s v="To make sure we provide the correct information, does your remote have a microphone or magnifying glass button for voice control?_x000a_A voice remote has a microphone or magnifying glass button._x000a_Please ask your agent to describe the image_x000a__x000a_nope_x000a__x000a_Roku Support B"/>
    <x v="0"/>
    <x v="0"/>
    <n v="1"/>
    <x v="0"/>
    <s v="Resolved by providing steps"/>
    <x v="0"/>
  </r>
  <r>
    <s v="Remote &amp; Hardware"/>
    <s v="How do I pair my Roku remote?"/>
    <s v="To pair your Roku voice remote:_x000a__x000a_- Put your Roku device into pairing mode by going to Settings &gt; Remotes &amp; devices &gt; Add devices &gt; Remote &gt; Continue._x000a_- Then, sync your Roku remote by pressing and holding the pairing button for 5 seconds until the status l"/>
    <x v="0"/>
    <x v="0"/>
    <n v="1"/>
    <x v="0"/>
    <s v="Resolved by providing steps and link to documentation"/>
    <x v="0"/>
  </r>
  <r>
    <s v="Remote &amp; Hardware"/>
    <s v="Roku remote volume not working"/>
    <s v="To make sure we provide the correct information, does your remote have a microphone or magnifying glass button for voice control?_x000a_A voice remote has a microphone or magnifying glass button._x000a_Please ask your agent to describe the image_x000a__x000a_i think so_x000a__x000a_Roku Sup"/>
    <x v="0"/>
    <x v="0"/>
    <n v="1"/>
    <x v="0"/>
    <s v="Resolved by providing steps; asked good questions despite initial user ambiguity"/>
    <x v="2"/>
  </r>
  <r>
    <s v="Remote &amp; Hardware"/>
    <s v="Can I use my phone as a remote?"/>
    <s v="Yes, you can use your phone as a remote by using the Roku mobile app. You can use it to control your Roku TV or streaming player. Would you like to know more about how to use the Roku mobile app as a remote?_x000a_A voice remote has a microphone or magnifying g"/>
    <x v="0"/>
    <x v="0"/>
    <n v="1"/>
    <x v="0"/>
    <s v="Resolved by providing steps and link to documentation"/>
    <x v="0"/>
  </r>
  <r>
    <s v="Remote &amp; Hardware"/>
    <s v="Roku device overheating"/>
    <s v="I can help with that! Here are some things you can do if your Roku is overheating:_x000a__x000a_- Keep your device cool: Don't put your Roku near high temperatures, humidity, or direct sunlight._x000a_- Ventilation is important: Make sure nothing is covering your device, a"/>
    <x v="0"/>
    <x v="0"/>
    <n v="1"/>
    <x v="0"/>
    <s v="Resolved by providing steps and link to documentation"/>
    <x v="0"/>
  </r>
  <r>
    <s v="Ambiguous"/>
    <s v="Roku is not working"/>
    <s v="Are you experiencing issues with audio, video, connectivity, or your remote?_x000a__x000a_connectivity_x000a__x000a_Roku Support Bot_x000a_If your Roku device is not connecting to Wi-Fi, you can check your Wi-Fi and password, test with a different device, restart your Roku device, and"/>
    <x v="0"/>
    <x v="0"/>
    <n v="1"/>
    <x v="0"/>
    <s v="Resolved by providing steps; asked good questions despite initial user ambiguity"/>
    <x v="2"/>
  </r>
  <r>
    <s v="Ambiguous"/>
    <s v="My TV is acting weird"/>
    <s v="Gotcha. To help me figure out what's going on, can you tell me more about what's acting weird? For example, is there no picture, sound, or something else?_x000a__x000a_something else_x000a__x000a_I'm not quite sure how to help with that. Would you like me to connect you with an "/>
    <x v="1"/>
    <x v="0"/>
    <n v="-1"/>
    <x v="2"/>
    <s v="Unresolved due to user ambiguity and escalated to human"/>
    <x v="3"/>
  </r>
  <r>
    <s v="Ambiguous"/>
    <s v="Nothing is loading"/>
    <s v="Are you experiencing this issue with a specific channel, or is it happening across multiple channels?_x000a__x000a_multiple channels_x000a__x000a_Roku Support Bot_x000a_I can share some troubleshooting steps. First, restart your Roku device. You can either unplug the power cable, wait"/>
    <x v="0"/>
    <x v="0"/>
    <n v="1"/>
    <x v="0"/>
    <s v="Resolved by providing steps; asked good questions despite initial user ambiguity"/>
    <x v="2"/>
  </r>
  <r>
    <s v="Ambiguous"/>
    <s v="I need help now"/>
    <s v="How can I help you today?_x000a__x000a_i dont know im confused_x000a__x000a_I'm sorry to hear that you're feeling confused. Would you like me to connect you with an advisor for more help?"/>
    <x v="1"/>
    <x v="0"/>
    <n v="-1"/>
    <x v="2"/>
    <s v="Unresolved due to user ambiguity and escalated to human"/>
    <x v="3"/>
  </r>
  <r>
    <s v="Ambiguous"/>
    <s v="This is so frustrating"/>
    <s v="To assist you better, could you please describe the issue you're experiencing with your Roku device?_x000a__x000a_everything is going wrong_x000a__x000a_Roku Support Bot_x000a_Are you experiencing issues with audio, video, connectivity, or your remote?_x000a__x000a_everything_x000a__x000a_Roku Support Bot_x000a_It"/>
    <x v="1"/>
    <x v="0"/>
    <n v="-1"/>
    <x v="2"/>
    <s v="Unresolved due to issue complexity and escalated to human"/>
    <x v="4"/>
  </r>
  <r>
    <s v="Advanced"/>
    <s v="I already tried restarting and it didn’t work"/>
    <s v="To clarify, is your Roku TV stuck on the logo screen, or is it experiencing a different issue?_x000a__x000a_yeah its the roku city thing_x000a__x000a_Roku Support Bot_x000a_I understand your Roku TV is stuck on the Roku city screen. There are a few things you can try. Have you tried f"/>
    <x v="1"/>
    <x v="2"/>
    <n v="-1"/>
    <x v="2"/>
    <s v="Unresolved due to issue complexity and escalated to human"/>
    <x v="4"/>
  </r>
  <r>
    <s v="Advanced"/>
    <s v="I spoke to support yesterday and it’s still broken"/>
    <s v="I'm sorry to hear that the issue is still unresolved. Would you like me to connect you with an advisor for further assistance?"/>
    <x v="1"/>
    <x v="0"/>
    <n v="-1"/>
    <x v="2"/>
    <s v="Unresolved due to issue severity and escalated to human"/>
    <x v="5"/>
  </r>
  <r>
    <s v="Advanced"/>
    <s v="Why does Roku suck lately?"/>
    <s v="Are you experiencing issues with streaming quality, app loading, or something else?_x000a__x000a_streaming quality &amp; app loading_x000a__x000a_Roku Support Bot_x000a_There may be several reasons that content will not play, is poor quality, or frequently starts and stops on your Roku de"/>
    <x v="0"/>
    <x v="0"/>
    <n v="1"/>
    <x v="0"/>
    <s v="Resolved by providing steps; asked good questions despite initial user ambiguity"/>
    <x v="2"/>
  </r>
  <r>
    <s v="Advanced"/>
    <s v="Can I talk to a human?"/>
    <s v="I can connect you with a Roku advisor. What's the reason for your inquiry today?"/>
    <x v="1"/>
    <x v="0"/>
    <n v="1"/>
    <x v="0"/>
    <s v="Resolved, escalated to human based on explicit user request"/>
    <x v="6"/>
  </r>
  <r>
    <s v="Advanced"/>
    <s v="This used to work before the update"/>
    <s v="To clarify, are you experiencing issues with audio, video, connectivity, or your remote?_x000a__x000a_audio_x000a__x000a_Roku Support Bot_x000a_I can share some troubleshooting steps. First, check the volume level and mute settings on your TV. Make sure mute is OFF and that the volume"/>
    <x v="0"/>
    <x v="0"/>
    <n v="1"/>
    <x v="0"/>
    <s v="Resolved by providing steps; asked good questions despite initial user ambiguity"/>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Analysis 3" cacheId="7" applyNumberFormats="0" applyBorderFormats="0" applyFontFormats="0" applyPatternFormats="0" applyAlignmentFormats="0" applyWidthHeightFormats="0" dataCaption="" updatedVersion="8" compact="0" compactData="0">
  <location ref="E7:F11" firstHeaderRow="1" firstDataRow="1" firstDataCol="1"/>
  <pivotFields count="9">
    <pivotField name="Question Category" compact="0" outline="0" multipleItemSelectionAllowed="1" showAll="0"/>
    <pivotField name="User question" dataField="1" compact="0" outline="0" multipleItemSelectionAllowed="1" showAll="0"/>
    <pivotField name="Response" compact="0" outline="0" multipleItemSelectionAllowed="1" showAll="0"/>
    <pivotField name="Escalated?" compact="0" outline="0" multipleItemSelectionAllowed="1" showAll="0"/>
    <pivotField name="Intent?" axis="axisRow" compact="0" outline="0" multipleItemSelectionAllowed="1" showAll="0">
      <items count="4">
        <item x="0"/>
        <item x="2"/>
        <item x="1"/>
        <item t="default"/>
      </items>
    </pivotField>
    <pivotField name="CSAT Score" compact="0" outline="0" multipleItemSelectionAllowed="1" showAll="0"/>
    <pivotField name="CSAT Label" compact="0" outline="0" multipleItemSelectionAllowed="1" showAll="0"/>
    <pivotField name="Open Codes" compact="0" outline="0" multipleItemSelectionAllowed="1" showAll="0"/>
    <pivotField name="Axial Codes" compact="0" outline="0" multipleItemSelectionAllowed="1" showAll="0"/>
  </pivotFields>
  <rowFields count="1">
    <field x="4"/>
  </rowFields>
  <rowItems count="4">
    <i>
      <x/>
    </i>
    <i>
      <x v="1"/>
    </i>
    <i>
      <x v="2"/>
    </i>
    <i t="grand">
      <x/>
    </i>
  </rowItems>
  <colItems count="1">
    <i/>
  </colItems>
  <dataFields count="1">
    <dataField name="COUNTA of User question" fld="1" subtotal="count" baseField="0"/>
  </dataFields>
  <formats count="6">
    <format dxfId="22">
      <pivotArea field="4" type="button" dataOnly="0" labelOnly="1" outline="0" axis="axisRow" fieldPosition="0"/>
    </format>
    <format dxfId="21">
      <pivotArea dataOnly="0" labelOnly="1" outline="0" axis="axisValues" fieldPosition="0"/>
    </format>
    <format dxfId="10">
      <pivotArea field="4" type="button" dataOnly="0" labelOnly="1" outline="0" axis="axisRow" fieldPosition="0"/>
    </format>
    <format dxfId="9">
      <pivotArea dataOnly="0" labelOnly="1" outline="0" axis="axisValues" fieldPosition="0"/>
    </format>
    <format dxfId="3">
      <pivotArea grandRow="1" outline="0" fieldPosition="0"/>
    </format>
    <format dxfId="2">
      <pivotArea dataOnly="0" labelOnly="1" grandRow="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Analysis 4" cacheId="7" applyNumberFormats="0" applyBorderFormats="0" applyFontFormats="0" applyPatternFormats="0" applyAlignmentFormats="0" applyWidthHeightFormats="0" dataCaption="" updatedVersion="8" compact="0" compactData="0">
  <location ref="B12:C16" firstHeaderRow="1" firstDataRow="1" firstDataCol="1"/>
  <pivotFields count="9">
    <pivotField name="Question Category" compact="0" outline="0" multipleItemSelectionAllowed="1" showAll="0"/>
    <pivotField name="User question" dataField="1" compact="0" outline="0" multipleItemSelectionAllowed="1" showAll="0"/>
    <pivotField name="Response" compact="0" outline="0" multipleItemSelectionAllowed="1" showAll="0"/>
    <pivotField name="Escalated?" compact="0" outline="0" multipleItemSelectionAllowed="1" showAll="0"/>
    <pivotField name="Intent?" compact="0" outline="0" multipleItemSelectionAllowed="1" showAll="0"/>
    <pivotField name="CSAT Score" compact="0" outline="0" multipleItemSelectionAllowed="1" showAll="0"/>
    <pivotField name="CSAT Label" axis="axisRow" compact="0" outline="0" multipleItemSelectionAllowed="1" showAll="0" sortType="descending">
      <items count="4">
        <item x="0"/>
        <item x="1"/>
        <item x="2"/>
        <item t="default"/>
      </items>
      <autoSortScope>
        <pivotArea>
          <references count="1">
            <reference field="4294967294" count="1">
              <x v="0"/>
            </reference>
          </references>
        </pivotArea>
      </autoSortScope>
    </pivotField>
    <pivotField name="Open Codes" compact="0" outline="0" multipleItemSelectionAllowed="1" showAll="0"/>
    <pivotField name="Axial Codes" compact="0" outline="0" multipleItemSelectionAllowed="1" showAll="0"/>
  </pivotFields>
  <rowFields count="1">
    <field x="6"/>
  </rowFields>
  <rowItems count="4">
    <i>
      <x/>
    </i>
    <i>
      <x v="2"/>
    </i>
    <i>
      <x v="1"/>
    </i>
    <i t="grand">
      <x/>
    </i>
  </rowItems>
  <colItems count="1">
    <i/>
  </colItems>
  <dataFields count="1">
    <dataField name="COUNTA of User question" fld="1" subtotal="count" baseField="0"/>
  </dataFields>
  <formats count="6">
    <format dxfId="28">
      <pivotArea field="6" type="button" dataOnly="0" labelOnly="1" outline="0" axis="axisRow" fieldPosition="0"/>
    </format>
    <format dxfId="27">
      <pivotArea dataOnly="0" labelOnly="1" outline="0" axis="axisValues" fieldPosition="0"/>
    </format>
    <format dxfId="16">
      <pivotArea field="6" type="button" dataOnly="0" labelOnly="1" outline="0" axis="axisRow" fieldPosition="0"/>
    </format>
    <format dxfId="15">
      <pivotArea dataOnly="0" labelOnly="1" outline="0" axis="axisValues" fieldPosition="0"/>
    </format>
    <format dxfId="5">
      <pivotArea grandRow="1" outline="0" fieldPosition="0"/>
    </format>
    <format dxfId="4">
      <pivotArea dataOnly="0" labelOnly="1" grandRow="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Analysis" cacheId="7" applyNumberFormats="0" applyBorderFormats="0" applyFontFormats="0" applyPatternFormats="0" applyAlignmentFormats="0" applyWidthHeightFormats="0" dataCaption="" updatedVersion="8" compact="0" compactData="0">
  <location ref="B2:C10" firstHeaderRow="1" firstDataRow="1" firstDataCol="1"/>
  <pivotFields count="9">
    <pivotField name="Question Category" compact="0" outline="0" multipleItemSelectionAllowed="1" showAll="0"/>
    <pivotField name="User question" dataField="1" compact="0" outline="0" multipleItemSelectionAllowed="1" showAll="0"/>
    <pivotField name="Response" compact="0" outline="0" multipleItemSelectionAllowed="1" showAll="0"/>
    <pivotField name="Escalated?" compact="0" outline="0" multipleItemSelectionAllowed="1" showAll="0"/>
    <pivotField name="Intent?" compact="0" outline="0" multipleItemSelectionAllowed="1" showAll="0"/>
    <pivotField name="CSAT Score" compact="0" outline="0" multipleItemSelectionAllowed="1" showAll="0"/>
    <pivotField name="CSAT Label" compact="0" outline="0" multipleItemSelectionAllowed="1" showAll="0"/>
    <pivotField name="Open Codes" compact="0" outline="0" multipleItemSelectionAllowed="1" showAll="0"/>
    <pivotField name="Axial Codes" axis="axisRow" compact="0" outline="0" multipleItemSelectionAllowed="1" showAll="0" sortType="descending">
      <items count="8">
        <item x="0"/>
        <item x="1"/>
        <item x="2"/>
        <item x="3"/>
        <item x="4"/>
        <item x="5"/>
        <item x="6"/>
        <item t="default"/>
      </items>
      <autoSortScope>
        <pivotArea>
          <references count="1">
            <reference field="4294967294" count="1">
              <x v="0"/>
            </reference>
          </references>
        </pivotArea>
      </autoSortScope>
    </pivotField>
  </pivotFields>
  <rowFields count="1">
    <field x="8"/>
  </rowFields>
  <rowItems count="8">
    <i>
      <x/>
    </i>
    <i>
      <x v="2"/>
    </i>
    <i>
      <x v="4"/>
    </i>
    <i>
      <x v="3"/>
    </i>
    <i>
      <x v="1"/>
    </i>
    <i>
      <x v="6"/>
    </i>
    <i>
      <x v="5"/>
    </i>
    <i t="grand">
      <x/>
    </i>
  </rowItems>
  <colItems count="1">
    <i/>
  </colItems>
  <dataFields count="1">
    <dataField name="COUNTA of User question" fld="1" subtotal="count" baseField="0"/>
  </dataFields>
  <formats count="6">
    <format dxfId="31">
      <pivotArea field="8" type="button" dataOnly="0" labelOnly="1" outline="0" axis="axisRow" fieldPosition="0"/>
    </format>
    <format dxfId="30">
      <pivotArea dataOnly="0" labelOnly="1" outline="0" axis="axisValues" fieldPosition="0"/>
    </format>
    <format dxfId="19">
      <pivotArea field="8" type="button" dataOnly="0" labelOnly="1" outline="0" axis="axisRow" fieldPosition="0"/>
    </format>
    <format dxfId="18">
      <pivotArea dataOnly="0" labelOnly="1" outline="0" axis="axisValues" fieldPosition="0"/>
    </format>
    <format dxfId="7">
      <pivotArea grandRow="1" outline="0" fieldPosition="0"/>
    </format>
    <format dxfId="6">
      <pivotArea dataOnly="0" labelOnly="1" grandRow="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Analysis 2" cacheId="7" applyNumberFormats="0" applyBorderFormats="0" applyFontFormats="0" applyPatternFormats="0" applyAlignmentFormats="0" applyWidthHeightFormats="0" dataCaption="" updatedVersion="8" compact="0" compactData="0">
  <location ref="E2:F5" firstHeaderRow="1" firstDataRow="1" firstDataCol="1"/>
  <pivotFields count="9">
    <pivotField name="Question Category" compact="0" outline="0" multipleItemSelectionAllowed="1" showAll="0"/>
    <pivotField name="User question" dataField="1" compact="0" outline="0" multipleItemSelectionAllowed="1" showAll="0"/>
    <pivotField name="Response" compact="0" outline="0" multipleItemSelectionAllowed="1" showAll="0"/>
    <pivotField name="Escalated?" axis="axisRow" compact="0" outline="0" multipleItemSelectionAllowed="1" showAll="0" sortType="ascending">
      <items count="3">
        <item x="0"/>
        <item x="1"/>
        <item t="default"/>
      </items>
    </pivotField>
    <pivotField name="Intent?" compact="0" outline="0" multipleItemSelectionAllowed="1" showAll="0"/>
    <pivotField name="CSAT Score" compact="0" outline="0" multipleItemSelectionAllowed="1" showAll="0"/>
    <pivotField name="CSAT Label" compact="0" outline="0" multipleItemSelectionAllowed="1" showAll="0"/>
    <pivotField name="Open Codes" compact="0" outline="0" multipleItemSelectionAllowed="1" showAll="0"/>
    <pivotField name="Axial Codes" compact="0" outline="0" multipleItemSelectionAllowed="1" showAll="0"/>
  </pivotFields>
  <rowFields count="1">
    <field x="3"/>
  </rowFields>
  <rowItems count="3">
    <i>
      <x/>
    </i>
    <i>
      <x v="1"/>
    </i>
    <i t="grand">
      <x/>
    </i>
  </rowItems>
  <colItems count="1">
    <i/>
  </colItems>
  <dataFields count="1">
    <dataField name="COUNTA of User question" fld="1" subtotal="count" baseField="0"/>
  </dataFields>
  <formats count="6">
    <format dxfId="25">
      <pivotArea field="3" type="button" dataOnly="0" labelOnly="1" outline="0" axis="axisRow" fieldPosition="0"/>
    </format>
    <format dxfId="24">
      <pivotArea dataOnly="0" labelOnly="1" outline="0" axis="axisValues" fieldPosition="0"/>
    </format>
    <format dxfId="13">
      <pivotArea field="3" type="button" dataOnly="0" labelOnly="1" outline="0" axis="axisRow" fieldPosition="0"/>
    </format>
    <format dxfId="12">
      <pivotArea dataOnly="0" labelOnly="1" outline="0" axis="axisValues" fieldPosition="0"/>
    </format>
    <format dxfId="1">
      <pivotArea grandRow="1" outline="0" fieldPosition="0"/>
    </format>
    <format dxfId="0">
      <pivotArea dataOnly="0" labelOnly="1" grandRow="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upport.roku.com/en-us/article/208755948" TargetMode="External"/><Relationship Id="rId13" Type="http://schemas.openxmlformats.org/officeDocument/2006/relationships/hyperlink" Target="https://support.roku.com/en-us/article/115002681087" TargetMode="External"/><Relationship Id="rId3" Type="http://schemas.openxmlformats.org/officeDocument/2006/relationships/hyperlink" Target="https://support.roku.com/en-us/article/115015760328" TargetMode="External"/><Relationship Id="rId7" Type="http://schemas.openxmlformats.org/officeDocument/2006/relationships/hyperlink" Target="https://support.roku.com/en-us/article/208756478" TargetMode="External"/><Relationship Id="rId12" Type="http://schemas.openxmlformats.org/officeDocument/2006/relationships/hyperlink" Target="https://support.roku.com/en-us/article/360034303013" TargetMode="External"/><Relationship Id="rId2" Type="http://schemas.openxmlformats.org/officeDocument/2006/relationships/hyperlink" Target="https://support.roku.com/en-us/article/115015678567" TargetMode="External"/><Relationship Id="rId16" Type="http://schemas.openxmlformats.org/officeDocument/2006/relationships/hyperlink" Target="https://support.roku.com/en-us/article/208755548" TargetMode="External"/><Relationship Id="rId1" Type="http://schemas.openxmlformats.org/officeDocument/2006/relationships/hyperlink" Target="https://support.roku.com/en-us/article/21332781083287" TargetMode="External"/><Relationship Id="rId6" Type="http://schemas.openxmlformats.org/officeDocument/2006/relationships/hyperlink" Target="https://support.roku.com/en-us/article/208755458" TargetMode="External"/><Relationship Id="rId11" Type="http://schemas.openxmlformats.org/officeDocument/2006/relationships/hyperlink" Target="https://support.roku.com/en-us/article/360011621473" TargetMode="External"/><Relationship Id="rId5" Type="http://schemas.openxmlformats.org/officeDocument/2006/relationships/hyperlink" Target="https://support.roku.com/en-us/article/208755548" TargetMode="External"/><Relationship Id="rId15" Type="http://schemas.openxmlformats.org/officeDocument/2006/relationships/hyperlink" Target="https://support.roku.com/en-us/article/208757008" TargetMode="External"/><Relationship Id="rId10" Type="http://schemas.openxmlformats.org/officeDocument/2006/relationships/hyperlink" Target="https://support.roku.com/en-us/article/218368088" TargetMode="External"/><Relationship Id="rId4" Type="http://schemas.openxmlformats.org/officeDocument/2006/relationships/hyperlink" Target="https://support.roku.com/en-us/article/213122277" TargetMode="External"/><Relationship Id="rId9" Type="http://schemas.openxmlformats.org/officeDocument/2006/relationships/hyperlink" Target="https://support.roku.com/en-us/article/208755978" TargetMode="External"/><Relationship Id="rId14" Type="http://schemas.openxmlformats.org/officeDocument/2006/relationships/hyperlink" Target="https://support.roku.com/en-us/article/226794787" TargetMode="Externa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1031"/>
  <sheetViews>
    <sheetView tabSelected="1" workbookViewId="0">
      <pane ySplit="1" topLeftCell="A2" activePane="bottomLeft" state="frozen"/>
      <selection pane="bottomLeft" activeCell="A2" sqref="A2"/>
    </sheetView>
  </sheetViews>
  <sheetFormatPr defaultColWidth="12.5703125" defaultRowHeight="15.75" customHeight="1" x14ac:dyDescent="0.2"/>
  <cols>
    <col min="1" max="1" width="19.42578125" customWidth="1"/>
    <col min="2" max="2" width="27.7109375" customWidth="1"/>
    <col min="3" max="3" width="45.42578125" customWidth="1"/>
    <col min="4" max="5" width="12.42578125" customWidth="1"/>
    <col min="6" max="6" width="11.5703125" customWidth="1"/>
    <col min="7" max="7" width="11.42578125" customWidth="1"/>
    <col min="8" max="8" width="31.7109375" customWidth="1"/>
    <col min="9" max="9" width="29.85546875" customWidth="1"/>
  </cols>
  <sheetData>
    <row r="1" spans="1:31" x14ac:dyDescent="0.2">
      <c r="A1" s="1" t="s">
        <v>0</v>
      </c>
      <c r="B1" s="1" t="s">
        <v>1</v>
      </c>
      <c r="C1" s="2" t="s">
        <v>2</v>
      </c>
      <c r="D1" s="2" t="s">
        <v>3</v>
      </c>
      <c r="E1" s="2" t="s">
        <v>4</v>
      </c>
      <c r="F1" s="2" t="s">
        <v>5</v>
      </c>
      <c r="G1" s="2" t="s">
        <v>6</v>
      </c>
      <c r="H1" s="2" t="s">
        <v>7</v>
      </c>
      <c r="I1" s="2" t="s">
        <v>8</v>
      </c>
      <c r="J1" s="3"/>
      <c r="K1" s="3"/>
      <c r="L1" s="3"/>
      <c r="M1" s="3"/>
      <c r="N1" s="3"/>
      <c r="O1" s="3"/>
      <c r="P1" s="3"/>
      <c r="Q1" s="3"/>
      <c r="R1" s="3"/>
      <c r="S1" s="3"/>
      <c r="T1" s="3"/>
      <c r="U1" s="3"/>
      <c r="V1" s="3"/>
      <c r="W1" s="3"/>
      <c r="X1" s="3"/>
      <c r="Y1" s="3"/>
      <c r="Z1" s="3"/>
      <c r="AA1" s="3"/>
      <c r="AB1" s="3"/>
      <c r="AC1" s="3"/>
      <c r="AD1" s="3"/>
      <c r="AE1" s="3"/>
    </row>
    <row r="2" spans="1:31" x14ac:dyDescent="0.2">
      <c r="A2" s="4" t="s">
        <v>9</v>
      </c>
      <c r="B2" s="5" t="s">
        <v>10</v>
      </c>
      <c r="C2" s="6" t="s">
        <v>11</v>
      </c>
      <c r="D2" s="4" t="s">
        <v>12</v>
      </c>
      <c r="E2" s="4" t="s">
        <v>13</v>
      </c>
      <c r="F2" s="4">
        <f t="shared" ref="F2:F4" si="0">1</f>
        <v>1</v>
      </c>
      <c r="G2" s="4" t="str">
        <f t="shared" ref="G2:G31" si="1">IF(F2&gt;=1, "Positive", IF(F2=0, "Neutral", "Negative"))</f>
        <v>Positive</v>
      </c>
      <c r="H2" s="4" t="s">
        <v>14</v>
      </c>
      <c r="I2" s="4" t="s">
        <v>15</v>
      </c>
    </row>
    <row r="3" spans="1:31" x14ac:dyDescent="0.2">
      <c r="A3" s="4" t="s">
        <v>9</v>
      </c>
      <c r="B3" s="5" t="s">
        <v>16</v>
      </c>
      <c r="C3" s="6" t="s">
        <v>17</v>
      </c>
      <c r="D3" s="4" t="s">
        <v>12</v>
      </c>
      <c r="E3" s="4" t="s">
        <v>13</v>
      </c>
      <c r="F3" s="4">
        <f t="shared" si="0"/>
        <v>1</v>
      </c>
      <c r="G3" s="4" t="str">
        <f t="shared" si="1"/>
        <v>Positive</v>
      </c>
      <c r="H3" s="4" t="s">
        <v>14</v>
      </c>
      <c r="I3" s="4" t="s">
        <v>15</v>
      </c>
    </row>
    <row r="4" spans="1:31" x14ac:dyDescent="0.2">
      <c r="A4" s="4" t="s">
        <v>9</v>
      </c>
      <c r="B4" s="5" t="s">
        <v>18</v>
      </c>
      <c r="C4" s="6" t="s">
        <v>19</v>
      </c>
      <c r="D4" s="4" t="s">
        <v>12</v>
      </c>
      <c r="E4" s="4" t="s">
        <v>13</v>
      </c>
      <c r="F4" s="4">
        <f t="shared" si="0"/>
        <v>1</v>
      </c>
      <c r="G4" s="4" t="str">
        <f t="shared" si="1"/>
        <v>Positive</v>
      </c>
      <c r="H4" s="4" t="s">
        <v>14</v>
      </c>
      <c r="I4" s="4" t="s">
        <v>15</v>
      </c>
    </row>
    <row r="5" spans="1:31" x14ac:dyDescent="0.2">
      <c r="A5" s="4" t="s">
        <v>9</v>
      </c>
      <c r="B5" s="5" t="s">
        <v>20</v>
      </c>
      <c r="C5" s="6" t="s">
        <v>21</v>
      </c>
      <c r="D5" s="4" t="s">
        <v>12</v>
      </c>
      <c r="E5" s="4" t="s">
        <v>13</v>
      </c>
      <c r="F5" s="4">
        <f>1-1</f>
        <v>0</v>
      </c>
      <c r="G5" s="4" t="str">
        <f t="shared" si="1"/>
        <v>Neutral</v>
      </c>
      <c r="H5" s="4" t="s">
        <v>22</v>
      </c>
      <c r="I5" s="4" t="s">
        <v>23</v>
      </c>
    </row>
    <row r="6" spans="1:31" x14ac:dyDescent="0.2">
      <c r="A6" s="4" t="s">
        <v>9</v>
      </c>
      <c r="B6" s="5" t="s">
        <v>24</v>
      </c>
      <c r="C6" s="4" t="s">
        <v>25</v>
      </c>
      <c r="D6" s="4" t="s">
        <v>12</v>
      </c>
      <c r="E6" s="4" t="s">
        <v>13</v>
      </c>
      <c r="F6" s="4">
        <f t="shared" ref="F6:F7" si="2">1</f>
        <v>1</v>
      </c>
      <c r="G6" s="4" t="str">
        <f t="shared" si="1"/>
        <v>Positive</v>
      </c>
      <c r="H6" s="4" t="s">
        <v>26</v>
      </c>
      <c r="I6" s="4" t="s">
        <v>15</v>
      </c>
    </row>
    <row r="7" spans="1:31" x14ac:dyDescent="0.2">
      <c r="A7" s="5" t="s">
        <v>27</v>
      </c>
      <c r="B7" s="5" t="s">
        <v>28</v>
      </c>
      <c r="C7" s="6" t="s">
        <v>29</v>
      </c>
      <c r="D7" s="4" t="s">
        <v>12</v>
      </c>
      <c r="E7" s="4" t="s">
        <v>13</v>
      </c>
      <c r="F7" s="4">
        <f t="shared" si="2"/>
        <v>1</v>
      </c>
      <c r="G7" s="4" t="str">
        <f t="shared" si="1"/>
        <v>Positive</v>
      </c>
      <c r="H7" s="4" t="s">
        <v>14</v>
      </c>
      <c r="I7" s="4" t="s">
        <v>15</v>
      </c>
    </row>
    <row r="8" spans="1:31" x14ac:dyDescent="0.2">
      <c r="A8" s="5" t="s">
        <v>27</v>
      </c>
      <c r="B8" s="5" t="s">
        <v>30</v>
      </c>
      <c r="C8" s="4" t="s">
        <v>31</v>
      </c>
      <c r="D8" s="4" t="s">
        <v>12</v>
      </c>
      <c r="E8" s="4" t="s">
        <v>32</v>
      </c>
      <c r="F8" s="4">
        <f>-1</f>
        <v>-1</v>
      </c>
      <c r="G8" s="4" t="str">
        <f t="shared" si="1"/>
        <v>Negative</v>
      </c>
      <c r="H8" s="4" t="s">
        <v>26</v>
      </c>
      <c r="I8" s="4" t="s">
        <v>15</v>
      </c>
    </row>
    <row r="9" spans="1:31" x14ac:dyDescent="0.2">
      <c r="A9" s="5" t="s">
        <v>27</v>
      </c>
      <c r="B9" s="5" t="s">
        <v>33</v>
      </c>
      <c r="C9" s="6" t="s">
        <v>34</v>
      </c>
      <c r="D9" s="4" t="s">
        <v>12</v>
      </c>
      <c r="E9" s="4" t="s">
        <v>13</v>
      </c>
      <c r="F9" s="4">
        <f t="shared" ref="F9:F22" si="3">1</f>
        <v>1</v>
      </c>
      <c r="G9" s="4" t="str">
        <f t="shared" si="1"/>
        <v>Positive</v>
      </c>
      <c r="H9" s="4" t="s">
        <v>14</v>
      </c>
      <c r="I9" s="4" t="s">
        <v>15</v>
      </c>
    </row>
    <row r="10" spans="1:31" x14ac:dyDescent="0.2">
      <c r="A10" s="5" t="s">
        <v>27</v>
      </c>
      <c r="B10" s="5" t="s">
        <v>35</v>
      </c>
      <c r="C10" s="4" t="s">
        <v>36</v>
      </c>
      <c r="D10" s="4" t="s">
        <v>12</v>
      </c>
      <c r="E10" s="4" t="s">
        <v>13</v>
      </c>
      <c r="F10" s="4">
        <f t="shared" si="3"/>
        <v>1</v>
      </c>
      <c r="G10" s="4" t="str">
        <f t="shared" si="1"/>
        <v>Positive</v>
      </c>
      <c r="H10" s="4" t="s">
        <v>26</v>
      </c>
      <c r="I10" s="4" t="s">
        <v>15</v>
      </c>
    </row>
    <row r="11" spans="1:31" x14ac:dyDescent="0.2">
      <c r="A11" s="5" t="s">
        <v>27</v>
      </c>
      <c r="B11" s="5" t="s">
        <v>37</v>
      </c>
      <c r="C11" s="4" t="s">
        <v>38</v>
      </c>
      <c r="D11" s="4" t="s">
        <v>12</v>
      </c>
      <c r="E11" s="4" t="s">
        <v>13</v>
      </c>
      <c r="F11" s="4">
        <f t="shared" si="3"/>
        <v>1</v>
      </c>
      <c r="G11" s="4" t="str">
        <f t="shared" si="1"/>
        <v>Positive</v>
      </c>
      <c r="H11" s="4" t="s">
        <v>26</v>
      </c>
      <c r="I11" s="4" t="s">
        <v>15</v>
      </c>
    </row>
    <row r="12" spans="1:31" x14ac:dyDescent="0.2">
      <c r="A12" s="4" t="s">
        <v>39</v>
      </c>
      <c r="B12" s="5" t="s">
        <v>40</v>
      </c>
      <c r="C12" s="4" t="s">
        <v>41</v>
      </c>
      <c r="D12" s="4" t="s">
        <v>12</v>
      </c>
      <c r="E12" s="4" t="s">
        <v>13</v>
      </c>
      <c r="F12" s="4">
        <f t="shared" si="3"/>
        <v>1</v>
      </c>
      <c r="G12" s="4" t="str">
        <f t="shared" si="1"/>
        <v>Positive</v>
      </c>
      <c r="H12" s="4" t="s">
        <v>26</v>
      </c>
      <c r="I12" s="4" t="s">
        <v>15</v>
      </c>
    </row>
    <row r="13" spans="1:31" x14ac:dyDescent="0.2">
      <c r="A13" s="4" t="s">
        <v>39</v>
      </c>
      <c r="B13" s="5" t="s">
        <v>42</v>
      </c>
      <c r="C13" s="6" t="s">
        <v>43</v>
      </c>
      <c r="D13" s="4" t="s">
        <v>12</v>
      </c>
      <c r="E13" s="4" t="s">
        <v>13</v>
      </c>
      <c r="F13" s="4">
        <f t="shared" si="3"/>
        <v>1</v>
      </c>
      <c r="G13" s="4" t="str">
        <f t="shared" si="1"/>
        <v>Positive</v>
      </c>
      <c r="H13" s="4" t="s">
        <v>14</v>
      </c>
      <c r="I13" s="4" t="s">
        <v>15</v>
      </c>
    </row>
    <row r="14" spans="1:31" x14ac:dyDescent="0.2">
      <c r="A14" s="4" t="s">
        <v>39</v>
      </c>
      <c r="B14" s="5" t="s">
        <v>44</v>
      </c>
      <c r="C14" s="6" t="s">
        <v>45</v>
      </c>
      <c r="D14" s="4" t="s">
        <v>12</v>
      </c>
      <c r="E14" s="4" t="s">
        <v>13</v>
      </c>
      <c r="F14" s="4">
        <f t="shared" si="3"/>
        <v>1</v>
      </c>
      <c r="G14" s="4" t="str">
        <f t="shared" si="1"/>
        <v>Positive</v>
      </c>
      <c r="H14" s="4" t="s">
        <v>14</v>
      </c>
      <c r="I14" s="4" t="s">
        <v>15</v>
      </c>
    </row>
    <row r="15" spans="1:31" x14ac:dyDescent="0.2">
      <c r="A15" s="4" t="s">
        <v>39</v>
      </c>
      <c r="B15" s="5" t="s">
        <v>46</v>
      </c>
      <c r="C15" s="6" t="s">
        <v>47</v>
      </c>
      <c r="D15" s="4" t="s">
        <v>12</v>
      </c>
      <c r="E15" s="4" t="s">
        <v>13</v>
      </c>
      <c r="F15" s="4">
        <f t="shared" si="3"/>
        <v>1</v>
      </c>
      <c r="G15" s="4" t="str">
        <f t="shared" si="1"/>
        <v>Positive</v>
      </c>
      <c r="H15" s="4" t="s">
        <v>14</v>
      </c>
      <c r="I15" s="4" t="s">
        <v>15</v>
      </c>
    </row>
    <row r="16" spans="1:31" x14ac:dyDescent="0.2">
      <c r="A16" s="4" t="s">
        <v>39</v>
      </c>
      <c r="B16" s="5" t="s">
        <v>48</v>
      </c>
      <c r="C16" s="6" t="s">
        <v>49</v>
      </c>
      <c r="D16" s="4" t="s">
        <v>12</v>
      </c>
      <c r="E16" s="4" t="s">
        <v>13</v>
      </c>
      <c r="F16" s="4">
        <f t="shared" si="3"/>
        <v>1</v>
      </c>
      <c r="G16" s="4" t="str">
        <f t="shared" si="1"/>
        <v>Positive</v>
      </c>
      <c r="H16" s="4" t="s">
        <v>14</v>
      </c>
      <c r="I16" s="4" t="s">
        <v>15</v>
      </c>
    </row>
    <row r="17" spans="1:9" x14ac:dyDescent="0.2">
      <c r="A17" s="4" t="s">
        <v>50</v>
      </c>
      <c r="B17" s="5" t="s">
        <v>51</v>
      </c>
      <c r="C17" s="4" t="s">
        <v>52</v>
      </c>
      <c r="D17" s="4" t="s">
        <v>12</v>
      </c>
      <c r="E17" s="4" t="s">
        <v>13</v>
      </c>
      <c r="F17" s="4">
        <f t="shared" si="3"/>
        <v>1</v>
      </c>
      <c r="G17" s="4" t="str">
        <f t="shared" si="1"/>
        <v>Positive</v>
      </c>
      <c r="H17" s="4" t="s">
        <v>26</v>
      </c>
      <c r="I17" s="4" t="s">
        <v>15</v>
      </c>
    </row>
    <row r="18" spans="1:9" x14ac:dyDescent="0.2">
      <c r="A18" s="4" t="s">
        <v>50</v>
      </c>
      <c r="B18" s="5" t="s">
        <v>53</v>
      </c>
      <c r="C18" s="6" t="s">
        <v>54</v>
      </c>
      <c r="D18" s="4" t="s">
        <v>12</v>
      </c>
      <c r="E18" s="4" t="s">
        <v>13</v>
      </c>
      <c r="F18" s="4">
        <f t="shared" si="3"/>
        <v>1</v>
      </c>
      <c r="G18" s="4" t="str">
        <f t="shared" si="1"/>
        <v>Positive</v>
      </c>
      <c r="H18" s="4" t="s">
        <v>14</v>
      </c>
      <c r="I18" s="4" t="s">
        <v>15</v>
      </c>
    </row>
    <row r="19" spans="1:9" x14ac:dyDescent="0.2">
      <c r="A19" s="4" t="s">
        <v>50</v>
      </c>
      <c r="B19" s="5" t="s">
        <v>55</v>
      </c>
      <c r="C19" s="6" t="s">
        <v>56</v>
      </c>
      <c r="D19" s="4" t="s">
        <v>12</v>
      </c>
      <c r="E19" s="4" t="s">
        <v>13</v>
      </c>
      <c r="F19" s="4">
        <f t="shared" si="3"/>
        <v>1</v>
      </c>
      <c r="G19" s="4" t="str">
        <f t="shared" si="1"/>
        <v>Positive</v>
      </c>
      <c r="H19" s="4" t="s">
        <v>57</v>
      </c>
      <c r="I19" s="4" t="s">
        <v>58</v>
      </c>
    </row>
    <row r="20" spans="1:9" x14ac:dyDescent="0.2">
      <c r="A20" s="4" t="s">
        <v>50</v>
      </c>
      <c r="B20" s="5" t="s">
        <v>59</v>
      </c>
      <c r="C20" s="6" t="s">
        <v>60</v>
      </c>
      <c r="D20" s="4" t="s">
        <v>12</v>
      </c>
      <c r="E20" s="4" t="s">
        <v>13</v>
      </c>
      <c r="F20" s="4">
        <f t="shared" si="3"/>
        <v>1</v>
      </c>
      <c r="G20" s="4" t="str">
        <f t="shared" si="1"/>
        <v>Positive</v>
      </c>
      <c r="H20" s="4" t="s">
        <v>14</v>
      </c>
      <c r="I20" s="4" t="s">
        <v>15</v>
      </c>
    </row>
    <row r="21" spans="1:9" x14ac:dyDescent="0.2">
      <c r="A21" s="4" t="s">
        <v>50</v>
      </c>
      <c r="B21" s="5" t="s">
        <v>61</v>
      </c>
      <c r="C21" s="6" t="s">
        <v>62</v>
      </c>
      <c r="D21" s="4" t="s">
        <v>12</v>
      </c>
      <c r="E21" s="4" t="s">
        <v>13</v>
      </c>
      <c r="F21" s="4">
        <f t="shared" si="3"/>
        <v>1</v>
      </c>
      <c r="G21" s="4" t="str">
        <f t="shared" si="1"/>
        <v>Positive</v>
      </c>
      <c r="H21" s="4" t="s">
        <v>14</v>
      </c>
      <c r="I21" s="4" t="s">
        <v>15</v>
      </c>
    </row>
    <row r="22" spans="1:9" x14ac:dyDescent="0.2">
      <c r="A22" s="4" t="s">
        <v>63</v>
      </c>
      <c r="B22" s="5" t="s">
        <v>64</v>
      </c>
      <c r="C22" s="4" t="s">
        <v>65</v>
      </c>
      <c r="D22" s="4" t="s">
        <v>12</v>
      </c>
      <c r="E22" s="4" t="s">
        <v>13</v>
      </c>
      <c r="F22" s="4">
        <f t="shared" si="3"/>
        <v>1</v>
      </c>
      <c r="G22" s="4" t="str">
        <f t="shared" si="1"/>
        <v>Positive</v>
      </c>
      <c r="H22" s="4" t="s">
        <v>57</v>
      </c>
      <c r="I22" s="4" t="s">
        <v>58</v>
      </c>
    </row>
    <row r="23" spans="1:9" ht="114.75" x14ac:dyDescent="0.2">
      <c r="A23" s="4" t="s">
        <v>63</v>
      </c>
      <c r="B23" s="5" t="s">
        <v>66</v>
      </c>
      <c r="C23" s="8" t="s">
        <v>67</v>
      </c>
      <c r="D23" s="4" t="s">
        <v>68</v>
      </c>
      <c r="E23" s="4" t="s">
        <v>13</v>
      </c>
      <c r="F23" s="4">
        <f>-1</f>
        <v>-1</v>
      </c>
      <c r="G23" s="4" t="str">
        <f t="shared" si="1"/>
        <v>Negative</v>
      </c>
      <c r="H23" s="4" t="s">
        <v>69</v>
      </c>
      <c r="I23" s="4" t="s">
        <v>70</v>
      </c>
    </row>
    <row r="24" spans="1:9" x14ac:dyDescent="0.2">
      <c r="A24" s="4" t="s">
        <v>63</v>
      </c>
      <c r="B24" s="5" t="s">
        <v>71</v>
      </c>
      <c r="C24" s="4" t="s">
        <v>72</v>
      </c>
      <c r="D24" s="4" t="s">
        <v>12</v>
      </c>
      <c r="E24" s="4" t="s">
        <v>13</v>
      </c>
      <c r="F24" s="4">
        <f>1</f>
        <v>1</v>
      </c>
      <c r="G24" s="4" t="str">
        <f t="shared" si="1"/>
        <v>Positive</v>
      </c>
      <c r="H24" s="4" t="s">
        <v>57</v>
      </c>
      <c r="I24" s="4" t="s">
        <v>58</v>
      </c>
    </row>
    <row r="25" spans="1:9" ht="89.25" x14ac:dyDescent="0.2">
      <c r="A25" s="4" t="s">
        <v>63</v>
      </c>
      <c r="B25" s="5" t="s">
        <v>73</v>
      </c>
      <c r="C25" s="8" t="s">
        <v>74</v>
      </c>
      <c r="D25" s="4" t="s">
        <v>68</v>
      </c>
      <c r="E25" s="4" t="s">
        <v>13</v>
      </c>
      <c r="F25" s="4">
        <f t="shared" ref="F25:F28" si="4">-1</f>
        <v>-1</v>
      </c>
      <c r="G25" s="4" t="str">
        <f t="shared" si="1"/>
        <v>Negative</v>
      </c>
      <c r="H25" s="4" t="s">
        <v>69</v>
      </c>
      <c r="I25" s="4" t="s">
        <v>70</v>
      </c>
    </row>
    <row r="26" spans="1:9" ht="191.25" x14ac:dyDescent="0.2">
      <c r="A26" s="4" t="s">
        <v>63</v>
      </c>
      <c r="B26" s="5" t="s">
        <v>75</v>
      </c>
      <c r="C26" s="8" t="s">
        <v>76</v>
      </c>
      <c r="D26" s="4" t="s">
        <v>68</v>
      </c>
      <c r="E26" s="4" t="s">
        <v>13</v>
      </c>
      <c r="F26" s="4">
        <f t="shared" si="4"/>
        <v>-1</v>
      </c>
      <c r="G26" s="4" t="str">
        <f t="shared" si="1"/>
        <v>Negative</v>
      </c>
      <c r="H26" s="4" t="s">
        <v>77</v>
      </c>
      <c r="I26" s="4" t="s">
        <v>78</v>
      </c>
    </row>
    <row r="27" spans="1:9" ht="409.5" x14ac:dyDescent="0.2">
      <c r="A27" s="4" t="s">
        <v>79</v>
      </c>
      <c r="B27" s="5" t="s">
        <v>80</v>
      </c>
      <c r="C27" s="23" t="s">
        <v>81</v>
      </c>
      <c r="D27" s="4" t="s">
        <v>68</v>
      </c>
      <c r="E27" s="4" t="s">
        <v>82</v>
      </c>
      <c r="F27" s="4">
        <f t="shared" si="4"/>
        <v>-1</v>
      </c>
      <c r="G27" s="4" t="str">
        <f t="shared" si="1"/>
        <v>Negative</v>
      </c>
      <c r="H27" s="4" t="s">
        <v>77</v>
      </c>
      <c r="I27" s="4" t="s">
        <v>78</v>
      </c>
    </row>
    <row r="28" spans="1:9" x14ac:dyDescent="0.2">
      <c r="A28" s="4" t="s">
        <v>79</v>
      </c>
      <c r="B28" s="5" t="s">
        <v>83</v>
      </c>
      <c r="C28" s="4" t="s">
        <v>84</v>
      </c>
      <c r="D28" s="4" t="s">
        <v>68</v>
      </c>
      <c r="E28" s="4" t="s">
        <v>13</v>
      </c>
      <c r="F28" s="4">
        <f t="shared" si="4"/>
        <v>-1</v>
      </c>
      <c r="G28" s="4" t="str">
        <f t="shared" si="1"/>
        <v>Negative</v>
      </c>
      <c r="H28" s="4" t="s">
        <v>85</v>
      </c>
      <c r="I28" s="4" t="s">
        <v>86</v>
      </c>
    </row>
    <row r="29" spans="1:9" x14ac:dyDescent="0.2">
      <c r="A29" s="4" t="s">
        <v>79</v>
      </c>
      <c r="B29" s="5" t="s">
        <v>87</v>
      </c>
      <c r="C29" s="6" t="s">
        <v>88</v>
      </c>
      <c r="D29" s="4" t="s">
        <v>12</v>
      </c>
      <c r="E29" s="4" t="s">
        <v>13</v>
      </c>
      <c r="F29" s="4">
        <f t="shared" ref="F29:F31" si="5">1</f>
        <v>1</v>
      </c>
      <c r="G29" s="4" t="str">
        <f t="shared" si="1"/>
        <v>Positive</v>
      </c>
      <c r="H29" s="4" t="s">
        <v>57</v>
      </c>
      <c r="I29" s="4" t="s">
        <v>58</v>
      </c>
    </row>
    <row r="30" spans="1:9" x14ac:dyDescent="0.2">
      <c r="A30" s="4" t="s">
        <v>79</v>
      </c>
      <c r="B30" s="5" t="s">
        <v>89</v>
      </c>
      <c r="C30" s="4" t="s">
        <v>90</v>
      </c>
      <c r="D30" s="4" t="s">
        <v>68</v>
      </c>
      <c r="E30" s="4" t="s">
        <v>13</v>
      </c>
      <c r="F30" s="4">
        <f t="shared" si="5"/>
        <v>1</v>
      </c>
      <c r="G30" s="4" t="str">
        <f t="shared" si="1"/>
        <v>Positive</v>
      </c>
      <c r="H30" s="4" t="s">
        <v>91</v>
      </c>
      <c r="I30" s="4" t="s">
        <v>92</v>
      </c>
    </row>
    <row r="31" spans="1:9" x14ac:dyDescent="0.2">
      <c r="A31" s="4" t="s">
        <v>79</v>
      </c>
      <c r="B31" s="5" t="s">
        <v>93</v>
      </c>
      <c r="C31" s="4" t="s">
        <v>94</v>
      </c>
      <c r="D31" s="4" t="s">
        <v>12</v>
      </c>
      <c r="E31" s="4" t="s">
        <v>13</v>
      </c>
      <c r="F31" s="4">
        <f t="shared" si="5"/>
        <v>1</v>
      </c>
      <c r="G31" s="4" t="str">
        <f t="shared" si="1"/>
        <v>Positive</v>
      </c>
      <c r="H31" s="4" t="s">
        <v>57</v>
      </c>
      <c r="I31" s="4" t="s">
        <v>58</v>
      </c>
    </row>
    <row r="32" spans="1:9" x14ac:dyDescent="0.2">
      <c r="A32" s="7"/>
      <c r="B32" s="7"/>
    </row>
    <row r="33" spans="1:2" x14ac:dyDescent="0.2">
      <c r="A33" s="4"/>
      <c r="B33" s="4"/>
    </row>
    <row r="34" spans="1:2" x14ac:dyDescent="0.2">
      <c r="A34" s="4"/>
      <c r="B34" s="4"/>
    </row>
    <row r="35" spans="1:2" x14ac:dyDescent="0.2">
      <c r="A35" s="4"/>
      <c r="B35" s="4"/>
    </row>
    <row r="36" spans="1:2" x14ac:dyDescent="0.2">
      <c r="A36" s="4"/>
      <c r="B36" s="4"/>
    </row>
    <row r="37" spans="1:2" x14ac:dyDescent="0.2">
      <c r="A37" s="4"/>
      <c r="B37" s="4"/>
    </row>
    <row r="38" spans="1:2" x14ac:dyDescent="0.2">
      <c r="A38" s="4"/>
      <c r="B38" s="4"/>
    </row>
    <row r="39" spans="1:2" x14ac:dyDescent="0.2">
      <c r="A39" s="4"/>
      <c r="B39" s="4"/>
    </row>
    <row r="40" spans="1:2" x14ac:dyDescent="0.2">
      <c r="A40" s="4"/>
      <c r="B40" s="4"/>
    </row>
    <row r="41" spans="1:2" x14ac:dyDescent="0.2">
      <c r="A41" s="4"/>
      <c r="B41" s="4"/>
    </row>
    <row r="42" spans="1:2" x14ac:dyDescent="0.2">
      <c r="A42" s="4"/>
      <c r="B42" s="4"/>
    </row>
    <row r="43" spans="1:2" x14ac:dyDescent="0.2">
      <c r="A43" s="4"/>
      <c r="B43" s="4"/>
    </row>
    <row r="44" spans="1:2" x14ac:dyDescent="0.2">
      <c r="A44" s="4"/>
      <c r="B44" s="4"/>
    </row>
    <row r="45" spans="1:2" x14ac:dyDescent="0.2">
      <c r="A45" s="4"/>
      <c r="B45" s="4"/>
    </row>
    <row r="46" spans="1:2" x14ac:dyDescent="0.2">
      <c r="A46" s="4"/>
      <c r="B46" s="4"/>
    </row>
    <row r="47" spans="1:2" x14ac:dyDescent="0.2">
      <c r="A47" s="4"/>
      <c r="B47" s="4"/>
    </row>
    <row r="48" spans="1:2" x14ac:dyDescent="0.2">
      <c r="A48" s="4"/>
      <c r="B48" s="4"/>
    </row>
    <row r="49" spans="1:2" x14ac:dyDescent="0.2">
      <c r="A49" s="4"/>
      <c r="B49" s="4"/>
    </row>
    <row r="50" spans="1:2" x14ac:dyDescent="0.2">
      <c r="A50" s="4"/>
      <c r="B50" s="4"/>
    </row>
    <row r="51" spans="1:2" x14ac:dyDescent="0.2">
      <c r="A51" s="4"/>
      <c r="B51" s="4"/>
    </row>
    <row r="52" spans="1:2" x14ac:dyDescent="0.2">
      <c r="A52" s="4"/>
      <c r="B52" s="4"/>
    </row>
    <row r="53" spans="1:2" x14ac:dyDescent="0.2">
      <c r="A53" s="4"/>
      <c r="B53" s="4"/>
    </row>
    <row r="54" spans="1:2" x14ac:dyDescent="0.2">
      <c r="A54" s="4"/>
      <c r="B54" s="4"/>
    </row>
    <row r="55" spans="1:2" x14ac:dyDescent="0.2">
      <c r="A55" s="4"/>
      <c r="B55" s="4"/>
    </row>
    <row r="56" spans="1:2" x14ac:dyDescent="0.2">
      <c r="A56" s="4"/>
      <c r="B56" s="4"/>
    </row>
    <row r="57" spans="1:2" x14ac:dyDescent="0.2">
      <c r="A57" s="4"/>
      <c r="B57" s="4"/>
    </row>
    <row r="58" spans="1:2" x14ac:dyDescent="0.2">
      <c r="A58" s="4"/>
      <c r="B58" s="4"/>
    </row>
    <row r="59" spans="1:2" x14ac:dyDescent="0.2">
      <c r="A59" s="4"/>
      <c r="B59" s="4"/>
    </row>
    <row r="60" spans="1:2" x14ac:dyDescent="0.2">
      <c r="A60" s="4"/>
      <c r="B60" s="4"/>
    </row>
    <row r="61" spans="1:2" x14ac:dyDescent="0.2">
      <c r="A61" s="4"/>
      <c r="B61" s="4"/>
    </row>
    <row r="62" spans="1:2" x14ac:dyDescent="0.2">
      <c r="A62" s="4"/>
      <c r="B62" s="4"/>
    </row>
    <row r="63" spans="1:2" x14ac:dyDescent="0.2">
      <c r="A63" s="4"/>
      <c r="B63" s="4"/>
    </row>
    <row r="64" spans="1:2" x14ac:dyDescent="0.2">
      <c r="A64" s="4"/>
      <c r="B64" s="4"/>
    </row>
    <row r="65" spans="1:2" x14ac:dyDescent="0.2">
      <c r="A65" s="4"/>
      <c r="B65" s="4"/>
    </row>
    <row r="66" spans="1:2" x14ac:dyDescent="0.2">
      <c r="A66" s="4"/>
      <c r="B66" s="4"/>
    </row>
    <row r="67" spans="1:2" x14ac:dyDescent="0.2">
      <c r="A67" s="4"/>
      <c r="B67" s="4"/>
    </row>
    <row r="68" spans="1:2" x14ac:dyDescent="0.2">
      <c r="A68" s="4"/>
      <c r="B68" s="4"/>
    </row>
    <row r="69" spans="1:2" x14ac:dyDescent="0.2">
      <c r="A69" s="4"/>
      <c r="B69" s="4"/>
    </row>
    <row r="70" spans="1:2" x14ac:dyDescent="0.2">
      <c r="A70" s="4"/>
      <c r="B70" s="4"/>
    </row>
    <row r="71" spans="1:2" x14ac:dyDescent="0.2">
      <c r="A71" s="4"/>
      <c r="B71" s="4"/>
    </row>
    <row r="72" spans="1:2" x14ac:dyDescent="0.2">
      <c r="A72" s="4"/>
      <c r="B72" s="4"/>
    </row>
    <row r="73" spans="1:2" x14ac:dyDescent="0.2">
      <c r="A73" s="4"/>
      <c r="B73" s="4"/>
    </row>
    <row r="74" spans="1:2" x14ac:dyDescent="0.2">
      <c r="A74" s="4"/>
      <c r="B74" s="4"/>
    </row>
    <row r="75" spans="1:2" x14ac:dyDescent="0.2">
      <c r="A75" s="4"/>
      <c r="B75" s="4"/>
    </row>
    <row r="76" spans="1:2" x14ac:dyDescent="0.2">
      <c r="A76" s="4"/>
      <c r="B76" s="4"/>
    </row>
    <row r="77" spans="1:2" x14ac:dyDescent="0.2">
      <c r="A77" s="4"/>
      <c r="B77" s="4"/>
    </row>
    <row r="78" spans="1:2" x14ac:dyDescent="0.2">
      <c r="A78" s="4"/>
      <c r="B78" s="4"/>
    </row>
    <row r="79" spans="1:2" x14ac:dyDescent="0.2">
      <c r="A79" s="4"/>
      <c r="B79" s="4"/>
    </row>
    <row r="80" spans="1:2" x14ac:dyDescent="0.2">
      <c r="A80" s="4"/>
      <c r="B80" s="4"/>
    </row>
    <row r="81" spans="1:2" x14ac:dyDescent="0.2">
      <c r="A81" s="4"/>
      <c r="B81" s="4"/>
    </row>
    <row r="82" spans="1:2" x14ac:dyDescent="0.2">
      <c r="A82" s="4"/>
      <c r="B82" s="4"/>
    </row>
    <row r="83" spans="1:2" x14ac:dyDescent="0.2">
      <c r="A83" s="4"/>
      <c r="B83" s="4"/>
    </row>
    <row r="84" spans="1:2" x14ac:dyDescent="0.2">
      <c r="A84" s="4"/>
      <c r="B84" s="4"/>
    </row>
    <row r="85" spans="1:2" x14ac:dyDescent="0.2">
      <c r="A85" s="4"/>
      <c r="B85" s="4"/>
    </row>
    <row r="86" spans="1:2" x14ac:dyDescent="0.2">
      <c r="A86" s="4"/>
      <c r="B86" s="4"/>
    </row>
    <row r="87" spans="1:2" x14ac:dyDescent="0.2">
      <c r="A87" s="4"/>
      <c r="B87" s="4"/>
    </row>
    <row r="88" spans="1:2" x14ac:dyDescent="0.2">
      <c r="A88" s="4"/>
      <c r="B88" s="4"/>
    </row>
    <row r="89" spans="1:2" x14ac:dyDescent="0.2">
      <c r="A89" s="4"/>
      <c r="B89" s="4"/>
    </row>
    <row r="90" spans="1:2" x14ac:dyDescent="0.2">
      <c r="A90" s="4"/>
      <c r="B90" s="4"/>
    </row>
    <row r="91" spans="1:2" x14ac:dyDescent="0.2">
      <c r="A91" s="4"/>
      <c r="B91" s="4"/>
    </row>
    <row r="92" spans="1:2" x14ac:dyDescent="0.2">
      <c r="A92" s="4"/>
      <c r="B92" s="4"/>
    </row>
    <row r="93" spans="1:2" x14ac:dyDescent="0.2">
      <c r="A93" s="4"/>
      <c r="B93" s="4"/>
    </row>
    <row r="94" spans="1:2" x14ac:dyDescent="0.2">
      <c r="A94" s="4"/>
      <c r="B94" s="4"/>
    </row>
    <row r="95" spans="1:2" x14ac:dyDescent="0.2">
      <c r="A95" s="4"/>
      <c r="B95" s="4"/>
    </row>
    <row r="96" spans="1:2" x14ac:dyDescent="0.2">
      <c r="A96" s="4"/>
      <c r="B96" s="4"/>
    </row>
    <row r="97" spans="1:2" x14ac:dyDescent="0.2">
      <c r="A97" s="4"/>
      <c r="B97" s="4"/>
    </row>
    <row r="98" spans="1:2" x14ac:dyDescent="0.2">
      <c r="A98" s="4"/>
      <c r="B98" s="4"/>
    </row>
    <row r="99" spans="1:2" x14ac:dyDescent="0.2">
      <c r="A99" s="4"/>
      <c r="B99" s="4"/>
    </row>
    <row r="100" spans="1:2" x14ac:dyDescent="0.2">
      <c r="A100" s="4"/>
      <c r="B100" s="4"/>
    </row>
    <row r="101" spans="1:2" x14ac:dyDescent="0.2">
      <c r="A101" s="4"/>
      <c r="B101" s="4"/>
    </row>
    <row r="102" spans="1:2" x14ac:dyDescent="0.2">
      <c r="A102" s="4"/>
      <c r="B102" s="4"/>
    </row>
    <row r="103" spans="1:2" x14ac:dyDescent="0.2">
      <c r="A103" s="4"/>
      <c r="B103" s="4"/>
    </row>
    <row r="104" spans="1:2" x14ac:dyDescent="0.2">
      <c r="A104" s="4"/>
      <c r="B104" s="4"/>
    </row>
    <row r="105" spans="1:2" x14ac:dyDescent="0.2">
      <c r="A105" s="4"/>
      <c r="B105" s="4"/>
    </row>
    <row r="106" spans="1:2" x14ac:dyDescent="0.2">
      <c r="A106" s="4"/>
      <c r="B106" s="4"/>
    </row>
    <row r="107" spans="1:2" x14ac:dyDescent="0.2">
      <c r="A107" s="4"/>
      <c r="B107" s="4"/>
    </row>
    <row r="108" spans="1:2" x14ac:dyDescent="0.2">
      <c r="A108" s="4"/>
      <c r="B108" s="4"/>
    </row>
    <row r="109" spans="1:2" x14ac:dyDescent="0.2">
      <c r="A109" s="4"/>
      <c r="B109" s="4"/>
    </row>
    <row r="110" spans="1:2" x14ac:dyDescent="0.2">
      <c r="A110" s="4"/>
      <c r="B110" s="4"/>
    </row>
    <row r="111" spans="1:2" x14ac:dyDescent="0.2">
      <c r="A111" s="4"/>
      <c r="B111" s="4"/>
    </row>
    <row r="112" spans="1:2" x14ac:dyDescent="0.2">
      <c r="A112" s="4"/>
      <c r="B112" s="4"/>
    </row>
    <row r="113" spans="1:2" x14ac:dyDescent="0.2">
      <c r="A113" s="4"/>
      <c r="B113" s="4"/>
    </row>
    <row r="114" spans="1:2" x14ac:dyDescent="0.2">
      <c r="A114" s="4"/>
      <c r="B114" s="4"/>
    </row>
    <row r="115" spans="1:2" x14ac:dyDescent="0.2">
      <c r="A115" s="4"/>
      <c r="B115" s="4"/>
    </row>
    <row r="116" spans="1:2" x14ac:dyDescent="0.2">
      <c r="A116" s="4"/>
      <c r="B116" s="4"/>
    </row>
    <row r="117" spans="1:2" x14ac:dyDescent="0.2">
      <c r="A117" s="4"/>
      <c r="B117" s="4"/>
    </row>
    <row r="118" spans="1:2" x14ac:dyDescent="0.2">
      <c r="A118" s="4"/>
      <c r="B118" s="4"/>
    </row>
    <row r="119" spans="1:2" x14ac:dyDescent="0.2">
      <c r="A119" s="4"/>
      <c r="B119" s="4"/>
    </row>
    <row r="120" spans="1:2" x14ac:dyDescent="0.2">
      <c r="A120" s="4"/>
      <c r="B120" s="4"/>
    </row>
    <row r="121" spans="1:2" x14ac:dyDescent="0.2">
      <c r="A121" s="4"/>
      <c r="B121" s="4"/>
    </row>
    <row r="122" spans="1:2" x14ac:dyDescent="0.2">
      <c r="A122" s="4"/>
      <c r="B122" s="4"/>
    </row>
    <row r="123" spans="1:2" x14ac:dyDescent="0.2">
      <c r="A123" s="4"/>
      <c r="B123" s="4"/>
    </row>
    <row r="124" spans="1:2" x14ac:dyDescent="0.2">
      <c r="A124" s="4"/>
      <c r="B124" s="4"/>
    </row>
    <row r="125" spans="1:2" x14ac:dyDescent="0.2">
      <c r="A125" s="4"/>
      <c r="B125" s="4"/>
    </row>
    <row r="126" spans="1:2" x14ac:dyDescent="0.2">
      <c r="A126" s="4"/>
      <c r="B126" s="4"/>
    </row>
    <row r="127" spans="1:2" x14ac:dyDescent="0.2">
      <c r="A127" s="4"/>
      <c r="B127" s="4"/>
    </row>
    <row r="128" spans="1:2" x14ac:dyDescent="0.2">
      <c r="A128" s="4"/>
      <c r="B128" s="4"/>
    </row>
    <row r="129" spans="1:2" x14ac:dyDescent="0.2">
      <c r="A129" s="4"/>
      <c r="B129" s="4"/>
    </row>
    <row r="130" spans="1:2" x14ac:dyDescent="0.2">
      <c r="A130" s="4"/>
      <c r="B130" s="4"/>
    </row>
    <row r="131" spans="1:2" x14ac:dyDescent="0.2">
      <c r="A131" s="4"/>
      <c r="B131" s="4"/>
    </row>
    <row r="132" spans="1:2" x14ac:dyDescent="0.2">
      <c r="A132" s="4"/>
      <c r="B132" s="4"/>
    </row>
    <row r="133" spans="1:2" x14ac:dyDescent="0.2">
      <c r="A133" s="4"/>
      <c r="B133" s="4"/>
    </row>
    <row r="134" spans="1:2" x14ac:dyDescent="0.2">
      <c r="A134" s="4"/>
      <c r="B134" s="4"/>
    </row>
    <row r="135" spans="1:2" x14ac:dyDescent="0.2">
      <c r="A135" s="4"/>
      <c r="B135" s="4"/>
    </row>
    <row r="136" spans="1:2" x14ac:dyDescent="0.2">
      <c r="A136" s="4"/>
      <c r="B136" s="4"/>
    </row>
    <row r="137" spans="1:2" x14ac:dyDescent="0.2">
      <c r="A137" s="4"/>
      <c r="B137" s="4"/>
    </row>
    <row r="138" spans="1:2" x14ac:dyDescent="0.2">
      <c r="A138" s="4"/>
      <c r="B138" s="4"/>
    </row>
    <row r="139" spans="1:2" x14ac:dyDescent="0.2">
      <c r="A139" s="4"/>
      <c r="B139" s="4"/>
    </row>
    <row r="140" spans="1:2" x14ac:dyDescent="0.2">
      <c r="A140" s="4"/>
      <c r="B140" s="4"/>
    </row>
    <row r="141" spans="1:2" x14ac:dyDescent="0.2">
      <c r="A141" s="4"/>
      <c r="B141" s="4"/>
    </row>
    <row r="142" spans="1:2" x14ac:dyDescent="0.2">
      <c r="A142" s="4"/>
      <c r="B142" s="4"/>
    </row>
    <row r="143" spans="1:2" x14ac:dyDescent="0.2">
      <c r="A143" s="4"/>
      <c r="B143" s="4"/>
    </row>
    <row r="144" spans="1:2" x14ac:dyDescent="0.2">
      <c r="A144" s="4"/>
      <c r="B144" s="4"/>
    </row>
    <row r="145" spans="1:2" x14ac:dyDescent="0.2">
      <c r="A145" s="4"/>
      <c r="B145" s="4"/>
    </row>
    <row r="146" spans="1:2" x14ac:dyDescent="0.2">
      <c r="A146" s="4"/>
      <c r="B146" s="4"/>
    </row>
    <row r="147" spans="1:2" x14ac:dyDescent="0.2">
      <c r="A147" s="4"/>
      <c r="B147" s="4"/>
    </row>
    <row r="148" spans="1:2" x14ac:dyDescent="0.2">
      <c r="A148" s="4"/>
      <c r="B148" s="4"/>
    </row>
    <row r="149" spans="1:2" x14ac:dyDescent="0.2">
      <c r="A149" s="4"/>
      <c r="B149" s="4"/>
    </row>
    <row r="150" spans="1:2" x14ac:dyDescent="0.2">
      <c r="A150" s="4"/>
      <c r="B150" s="4"/>
    </row>
    <row r="151" spans="1:2" x14ac:dyDescent="0.2">
      <c r="A151" s="4"/>
      <c r="B151" s="4"/>
    </row>
    <row r="152" spans="1:2" x14ac:dyDescent="0.2">
      <c r="A152" s="4"/>
      <c r="B152" s="4"/>
    </row>
    <row r="153" spans="1:2" x14ac:dyDescent="0.2">
      <c r="A153" s="4"/>
      <c r="B153" s="4"/>
    </row>
    <row r="154" spans="1:2" x14ac:dyDescent="0.2">
      <c r="A154" s="4"/>
      <c r="B154" s="4"/>
    </row>
    <row r="155" spans="1:2" x14ac:dyDescent="0.2">
      <c r="A155" s="4"/>
      <c r="B155" s="4"/>
    </row>
    <row r="156" spans="1:2" x14ac:dyDescent="0.2">
      <c r="A156" s="4"/>
      <c r="B156" s="4"/>
    </row>
    <row r="157" spans="1:2" x14ac:dyDescent="0.2">
      <c r="A157" s="4"/>
      <c r="B157" s="4"/>
    </row>
    <row r="158" spans="1:2" x14ac:dyDescent="0.2">
      <c r="A158" s="4"/>
      <c r="B158" s="4"/>
    </row>
    <row r="159" spans="1:2" x14ac:dyDescent="0.2">
      <c r="A159" s="4"/>
      <c r="B159" s="4"/>
    </row>
    <row r="160" spans="1:2" x14ac:dyDescent="0.2">
      <c r="A160" s="4"/>
      <c r="B160" s="4"/>
    </row>
    <row r="161" spans="1:2" x14ac:dyDescent="0.2">
      <c r="A161" s="4"/>
      <c r="B161" s="4"/>
    </row>
    <row r="162" spans="1:2" x14ac:dyDescent="0.2">
      <c r="A162" s="4"/>
      <c r="B162" s="4"/>
    </row>
    <row r="163" spans="1:2" x14ac:dyDescent="0.2">
      <c r="A163" s="4"/>
      <c r="B163" s="4"/>
    </row>
    <row r="164" spans="1:2" x14ac:dyDescent="0.2">
      <c r="A164" s="4"/>
      <c r="B164" s="4"/>
    </row>
    <row r="165" spans="1:2" x14ac:dyDescent="0.2">
      <c r="A165" s="4"/>
      <c r="B165" s="4"/>
    </row>
    <row r="166" spans="1:2" x14ac:dyDescent="0.2">
      <c r="A166" s="4"/>
      <c r="B166" s="4"/>
    </row>
    <row r="167" spans="1:2" x14ac:dyDescent="0.2">
      <c r="A167" s="4"/>
      <c r="B167" s="4"/>
    </row>
    <row r="168" spans="1:2" x14ac:dyDescent="0.2">
      <c r="A168" s="4"/>
      <c r="B168" s="4"/>
    </row>
    <row r="169" spans="1:2" x14ac:dyDescent="0.2">
      <c r="A169" s="4"/>
      <c r="B169" s="4"/>
    </row>
    <row r="170" spans="1:2" x14ac:dyDescent="0.2">
      <c r="A170" s="4"/>
      <c r="B170" s="4"/>
    </row>
    <row r="171" spans="1:2" x14ac:dyDescent="0.2">
      <c r="A171" s="4"/>
      <c r="B171" s="4"/>
    </row>
    <row r="172" spans="1:2" x14ac:dyDescent="0.2">
      <c r="A172" s="4"/>
      <c r="B172" s="4"/>
    </row>
    <row r="173" spans="1:2" x14ac:dyDescent="0.2">
      <c r="A173" s="4"/>
      <c r="B173" s="4"/>
    </row>
    <row r="174" spans="1:2" x14ac:dyDescent="0.2">
      <c r="A174" s="4"/>
      <c r="B174" s="4"/>
    </row>
    <row r="175" spans="1:2" x14ac:dyDescent="0.2">
      <c r="A175" s="4"/>
      <c r="B175" s="4"/>
    </row>
    <row r="176" spans="1:2" x14ac:dyDescent="0.2">
      <c r="A176" s="4"/>
      <c r="B176" s="4"/>
    </row>
    <row r="177" spans="1:2" x14ac:dyDescent="0.2">
      <c r="A177" s="4"/>
      <c r="B177" s="4"/>
    </row>
    <row r="178" spans="1:2" x14ac:dyDescent="0.2">
      <c r="A178" s="4"/>
      <c r="B178" s="4"/>
    </row>
    <row r="179" spans="1:2" x14ac:dyDescent="0.2">
      <c r="A179" s="4"/>
      <c r="B179" s="4"/>
    </row>
    <row r="180" spans="1:2" x14ac:dyDescent="0.2">
      <c r="A180" s="4"/>
      <c r="B180" s="4"/>
    </row>
    <row r="181" spans="1:2" x14ac:dyDescent="0.2">
      <c r="A181" s="4"/>
      <c r="B181" s="4"/>
    </row>
    <row r="182" spans="1:2" x14ac:dyDescent="0.2">
      <c r="A182" s="4"/>
      <c r="B182" s="4"/>
    </row>
    <row r="183" spans="1:2" x14ac:dyDescent="0.2">
      <c r="A183" s="4"/>
      <c r="B183" s="4"/>
    </row>
    <row r="184" spans="1:2" x14ac:dyDescent="0.2">
      <c r="A184" s="4"/>
      <c r="B184" s="4"/>
    </row>
    <row r="185" spans="1:2" x14ac:dyDescent="0.2">
      <c r="A185" s="4"/>
      <c r="B185" s="4"/>
    </row>
    <row r="186" spans="1:2" x14ac:dyDescent="0.2">
      <c r="A186" s="4"/>
      <c r="B186" s="4"/>
    </row>
    <row r="187" spans="1:2" x14ac:dyDescent="0.2">
      <c r="A187" s="4"/>
      <c r="B187" s="4"/>
    </row>
    <row r="188" spans="1:2" x14ac:dyDescent="0.2">
      <c r="A188" s="4"/>
      <c r="B188" s="4"/>
    </row>
    <row r="189" spans="1:2" x14ac:dyDescent="0.2">
      <c r="A189" s="4"/>
      <c r="B189" s="4"/>
    </row>
    <row r="190" spans="1:2" x14ac:dyDescent="0.2">
      <c r="A190" s="4"/>
      <c r="B190" s="4"/>
    </row>
    <row r="191" spans="1:2" x14ac:dyDescent="0.2">
      <c r="A191" s="4"/>
      <c r="B191" s="4"/>
    </row>
    <row r="192" spans="1:2" x14ac:dyDescent="0.2">
      <c r="A192" s="4"/>
      <c r="B192" s="4"/>
    </row>
    <row r="193" spans="1:2" x14ac:dyDescent="0.2">
      <c r="A193" s="4"/>
      <c r="B193" s="4"/>
    </row>
    <row r="194" spans="1:2" x14ac:dyDescent="0.2">
      <c r="A194" s="4"/>
      <c r="B194" s="4"/>
    </row>
    <row r="195" spans="1:2" x14ac:dyDescent="0.2">
      <c r="A195" s="4"/>
      <c r="B195" s="4"/>
    </row>
    <row r="196" spans="1:2" x14ac:dyDescent="0.2">
      <c r="A196" s="4"/>
      <c r="B196" s="4"/>
    </row>
    <row r="197" spans="1:2" x14ac:dyDescent="0.2">
      <c r="A197" s="4"/>
      <c r="B197" s="4"/>
    </row>
    <row r="198" spans="1:2" x14ac:dyDescent="0.2">
      <c r="A198" s="4"/>
      <c r="B198" s="4"/>
    </row>
    <row r="199" spans="1:2" x14ac:dyDescent="0.2">
      <c r="A199" s="4"/>
      <c r="B199" s="4"/>
    </row>
    <row r="200" spans="1:2" x14ac:dyDescent="0.2">
      <c r="A200" s="4"/>
      <c r="B200" s="4"/>
    </row>
    <row r="201" spans="1:2" x14ac:dyDescent="0.2">
      <c r="A201" s="4"/>
      <c r="B201" s="4"/>
    </row>
    <row r="202" spans="1:2" x14ac:dyDescent="0.2">
      <c r="A202" s="4"/>
      <c r="B202" s="4"/>
    </row>
    <row r="203" spans="1:2" x14ac:dyDescent="0.2">
      <c r="A203" s="4"/>
      <c r="B203" s="4"/>
    </row>
    <row r="204" spans="1:2" x14ac:dyDescent="0.2">
      <c r="A204" s="4"/>
      <c r="B204" s="4"/>
    </row>
    <row r="205" spans="1:2" x14ac:dyDescent="0.2">
      <c r="A205" s="4"/>
      <c r="B205" s="4"/>
    </row>
    <row r="206" spans="1:2" x14ac:dyDescent="0.2">
      <c r="A206" s="4"/>
      <c r="B206" s="4"/>
    </row>
    <row r="207" spans="1:2" x14ac:dyDescent="0.2">
      <c r="A207" s="4"/>
      <c r="B207" s="4"/>
    </row>
    <row r="208" spans="1:2" x14ac:dyDescent="0.2">
      <c r="A208" s="4"/>
      <c r="B208" s="4"/>
    </row>
    <row r="209" spans="1:2" x14ac:dyDescent="0.2">
      <c r="A209" s="4"/>
      <c r="B209" s="4"/>
    </row>
    <row r="210" spans="1:2" x14ac:dyDescent="0.2">
      <c r="A210" s="4"/>
      <c r="B210" s="4"/>
    </row>
    <row r="211" spans="1:2" x14ac:dyDescent="0.2">
      <c r="A211" s="4"/>
      <c r="B211" s="4"/>
    </row>
    <row r="212" spans="1:2" x14ac:dyDescent="0.2">
      <c r="A212" s="4"/>
      <c r="B212" s="4"/>
    </row>
    <row r="213" spans="1:2" x14ac:dyDescent="0.2">
      <c r="A213" s="4"/>
      <c r="B213" s="4"/>
    </row>
    <row r="214" spans="1:2" x14ac:dyDescent="0.2">
      <c r="A214" s="4"/>
      <c r="B214" s="4"/>
    </row>
    <row r="215" spans="1:2" x14ac:dyDescent="0.2">
      <c r="A215" s="4"/>
      <c r="B215" s="4"/>
    </row>
    <row r="216" spans="1:2" x14ac:dyDescent="0.2">
      <c r="A216" s="4"/>
      <c r="B216" s="4"/>
    </row>
    <row r="217" spans="1:2" x14ac:dyDescent="0.2">
      <c r="A217" s="4"/>
      <c r="B217" s="4"/>
    </row>
    <row r="218" spans="1:2" x14ac:dyDescent="0.2">
      <c r="A218" s="4"/>
      <c r="B218" s="4"/>
    </row>
    <row r="219" spans="1:2" x14ac:dyDescent="0.2">
      <c r="A219" s="4"/>
      <c r="B219" s="4"/>
    </row>
    <row r="220" spans="1:2" x14ac:dyDescent="0.2">
      <c r="A220" s="4"/>
      <c r="B220" s="4"/>
    </row>
    <row r="221" spans="1:2" x14ac:dyDescent="0.2">
      <c r="A221" s="4"/>
      <c r="B221" s="4"/>
    </row>
    <row r="222" spans="1:2" x14ac:dyDescent="0.2">
      <c r="A222" s="4"/>
      <c r="B222" s="4"/>
    </row>
    <row r="223" spans="1:2" x14ac:dyDescent="0.2">
      <c r="A223" s="4"/>
      <c r="B223" s="4"/>
    </row>
    <row r="224" spans="1:2" x14ac:dyDescent="0.2">
      <c r="A224" s="4"/>
      <c r="B224" s="4"/>
    </row>
    <row r="225" spans="1:2" x14ac:dyDescent="0.2">
      <c r="A225" s="4"/>
      <c r="B225" s="4"/>
    </row>
    <row r="226" spans="1:2" x14ac:dyDescent="0.2">
      <c r="A226" s="4"/>
      <c r="B226" s="4"/>
    </row>
    <row r="227" spans="1:2" x14ac:dyDescent="0.2">
      <c r="A227" s="4"/>
      <c r="B227" s="4"/>
    </row>
    <row r="228" spans="1:2" x14ac:dyDescent="0.2">
      <c r="A228" s="4"/>
      <c r="B228" s="4"/>
    </row>
    <row r="229" spans="1:2" x14ac:dyDescent="0.2">
      <c r="A229" s="4"/>
      <c r="B229" s="4"/>
    </row>
    <row r="230" spans="1:2" x14ac:dyDescent="0.2">
      <c r="A230" s="4"/>
      <c r="B230" s="4"/>
    </row>
    <row r="231" spans="1:2" x14ac:dyDescent="0.2">
      <c r="A231" s="4"/>
      <c r="B231" s="4"/>
    </row>
    <row r="232" spans="1:2" x14ac:dyDescent="0.2">
      <c r="A232" s="4"/>
      <c r="B232" s="4"/>
    </row>
    <row r="233" spans="1:2" x14ac:dyDescent="0.2">
      <c r="A233" s="4"/>
      <c r="B233" s="4"/>
    </row>
    <row r="234" spans="1:2" x14ac:dyDescent="0.2">
      <c r="A234" s="4"/>
      <c r="B234" s="4"/>
    </row>
    <row r="235" spans="1:2" x14ac:dyDescent="0.2">
      <c r="A235" s="4"/>
      <c r="B235" s="4"/>
    </row>
    <row r="236" spans="1:2" x14ac:dyDescent="0.2">
      <c r="A236" s="4"/>
      <c r="B236" s="4"/>
    </row>
    <row r="237" spans="1:2" x14ac:dyDescent="0.2">
      <c r="A237" s="4"/>
      <c r="B237" s="4"/>
    </row>
    <row r="238" spans="1:2" x14ac:dyDescent="0.2">
      <c r="A238" s="4"/>
      <c r="B238" s="4"/>
    </row>
    <row r="239" spans="1:2" x14ac:dyDescent="0.2">
      <c r="A239" s="4"/>
      <c r="B239" s="4"/>
    </row>
    <row r="240" spans="1:2" x14ac:dyDescent="0.2">
      <c r="A240" s="4"/>
      <c r="B240" s="4"/>
    </row>
    <row r="241" spans="1:2" x14ac:dyDescent="0.2">
      <c r="A241" s="4"/>
      <c r="B241" s="4"/>
    </row>
    <row r="242" spans="1:2" x14ac:dyDescent="0.2">
      <c r="A242" s="4"/>
      <c r="B242" s="4"/>
    </row>
    <row r="243" spans="1:2" x14ac:dyDescent="0.2">
      <c r="A243" s="4"/>
      <c r="B243" s="4"/>
    </row>
    <row r="244" spans="1:2" x14ac:dyDescent="0.2">
      <c r="A244" s="4"/>
      <c r="B244" s="4"/>
    </row>
    <row r="245" spans="1:2" x14ac:dyDescent="0.2">
      <c r="A245" s="4"/>
      <c r="B245" s="4"/>
    </row>
    <row r="246" spans="1:2" x14ac:dyDescent="0.2">
      <c r="A246" s="4"/>
      <c r="B246" s="4"/>
    </row>
    <row r="247" spans="1:2" x14ac:dyDescent="0.2">
      <c r="A247" s="4"/>
      <c r="B247" s="4"/>
    </row>
    <row r="248" spans="1:2" x14ac:dyDescent="0.2">
      <c r="A248" s="4"/>
      <c r="B248" s="4"/>
    </row>
    <row r="249" spans="1:2" x14ac:dyDescent="0.2">
      <c r="A249" s="4"/>
      <c r="B249" s="4"/>
    </row>
    <row r="250" spans="1:2" x14ac:dyDescent="0.2">
      <c r="A250" s="4"/>
      <c r="B250" s="4"/>
    </row>
    <row r="251" spans="1:2" x14ac:dyDescent="0.2">
      <c r="A251" s="4"/>
      <c r="B251" s="4"/>
    </row>
    <row r="252" spans="1:2" x14ac:dyDescent="0.2">
      <c r="A252" s="4"/>
      <c r="B252" s="4"/>
    </row>
    <row r="253" spans="1:2" x14ac:dyDescent="0.2">
      <c r="A253" s="4"/>
      <c r="B253" s="4"/>
    </row>
    <row r="254" spans="1:2" x14ac:dyDescent="0.2">
      <c r="A254" s="4"/>
      <c r="B254" s="4"/>
    </row>
    <row r="255" spans="1:2" x14ac:dyDescent="0.2">
      <c r="A255" s="4"/>
      <c r="B255" s="4"/>
    </row>
    <row r="256" spans="1:2" x14ac:dyDescent="0.2">
      <c r="A256" s="4"/>
      <c r="B256" s="4"/>
    </row>
    <row r="257" spans="1:2" x14ac:dyDescent="0.2">
      <c r="A257" s="4"/>
      <c r="B257" s="4"/>
    </row>
    <row r="258" spans="1:2" x14ac:dyDescent="0.2">
      <c r="A258" s="4"/>
      <c r="B258" s="4"/>
    </row>
    <row r="259" spans="1:2" x14ac:dyDescent="0.2">
      <c r="A259" s="4"/>
      <c r="B259" s="4"/>
    </row>
    <row r="260" spans="1:2" x14ac:dyDescent="0.2">
      <c r="A260" s="4"/>
      <c r="B260" s="4"/>
    </row>
    <row r="261" spans="1:2" x14ac:dyDescent="0.2">
      <c r="A261" s="4"/>
      <c r="B261" s="4"/>
    </row>
    <row r="262" spans="1:2" x14ac:dyDescent="0.2">
      <c r="A262" s="4"/>
      <c r="B262" s="4"/>
    </row>
    <row r="263" spans="1:2" x14ac:dyDescent="0.2">
      <c r="A263" s="4"/>
      <c r="B263" s="4"/>
    </row>
    <row r="264" spans="1:2" x14ac:dyDescent="0.2">
      <c r="A264" s="4"/>
      <c r="B264" s="4"/>
    </row>
    <row r="265" spans="1:2" x14ac:dyDescent="0.2">
      <c r="A265" s="4"/>
      <c r="B265" s="4"/>
    </row>
    <row r="266" spans="1:2" x14ac:dyDescent="0.2">
      <c r="A266" s="4"/>
      <c r="B266" s="4"/>
    </row>
    <row r="267" spans="1:2" x14ac:dyDescent="0.2">
      <c r="A267" s="4"/>
      <c r="B267" s="4"/>
    </row>
    <row r="268" spans="1:2" x14ac:dyDescent="0.2">
      <c r="A268" s="4"/>
      <c r="B268" s="4"/>
    </row>
    <row r="269" spans="1:2" x14ac:dyDescent="0.2">
      <c r="A269" s="4"/>
      <c r="B269" s="4"/>
    </row>
    <row r="270" spans="1:2" x14ac:dyDescent="0.2">
      <c r="A270" s="4"/>
      <c r="B270" s="4"/>
    </row>
    <row r="271" spans="1:2" x14ac:dyDescent="0.2">
      <c r="A271" s="4"/>
      <c r="B271" s="4"/>
    </row>
    <row r="272" spans="1:2" x14ac:dyDescent="0.2">
      <c r="A272" s="4"/>
      <c r="B272" s="4"/>
    </row>
    <row r="273" spans="1:2" x14ac:dyDescent="0.2">
      <c r="A273" s="4"/>
      <c r="B273" s="4"/>
    </row>
    <row r="274" spans="1:2" x14ac:dyDescent="0.2">
      <c r="A274" s="4"/>
      <c r="B274" s="4"/>
    </row>
    <row r="275" spans="1:2" x14ac:dyDescent="0.2">
      <c r="A275" s="4"/>
      <c r="B275" s="4"/>
    </row>
    <row r="276" spans="1:2" x14ac:dyDescent="0.2">
      <c r="A276" s="4"/>
      <c r="B276" s="4"/>
    </row>
    <row r="277" spans="1:2" x14ac:dyDescent="0.2">
      <c r="A277" s="4"/>
      <c r="B277" s="4"/>
    </row>
    <row r="278" spans="1:2" x14ac:dyDescent="0.2">
      <c r="A278" s="4"/>
      <c r="B278" s="4"/>
    </row>
    <row r="279" spans="1:2" x14ac:dyDescent="0.2">
      <c r="A279" s="4"/>
      <c r="B279" s="4"/>
    </row>
    <row r="280" spans="1:2" x14ac:dyDescent="0.2">
      <c r="A280" s="4"/>
      <c r="B280" s="4"/>
    </row>
    <row r="281" spans="1:2" x14ac:dyDescent="0.2">
      <c r="A281" s="4"/>
      <c r="B281" s="4"/>
    </row>
    <row r="282" spans="1:2" x14ac:dyDescent="0.2">
      <c r="A282" s="4"/>
      <c r="B282" s="4"/>
    </row>
    <row r="283" spans="1:2" x14ac:dyDescent="0.2">
      <c r="A283" s="4"/>
      <c r="B283" s="4"/>
    </row>
    <row r="284" spans="1:2" x14ac:dyDescent="0.2">
      <c r="A284" s="4"/>
      <c r="B284" s="4"/>
    </row>
    <row r="285" spans="1:2" x14ac:dyDescent="0.2">
      <c r="A285" s="4"/>
      <c r="B285" s="4"/>
    </row>
    <row r="286" spans="1:2" x14ac:dyDescent="0.2">
      <c r="A286" s="4"/>
      <c r="B286" s="4"/>
    </row>
    <row r="287" spans="1:2" x14ac:dyDescent="0.2">
      <c r="A287" s="4"/>
      <c r="B287" s="4"/>
    </row>
    <row r="288" spans="1:2" x14ac:dyDescent="0.2">
      <c r="A288" s="4"/>
      <c r="B288" s="4"/>
    </row>
    <row r="289" spans="1:2" x14ac:dyDescent="0.2">
      <c r="A289" s="4"/>
      <c r="B289" s="4"/>
    </row>
    <row r="290" spans="1:2" x14ac:dyDescent="0.2">
      <c r="A290" s="4"/>
      <c r="B290" s="4"/>
    </row>
    <row r="291" spans="1:2" x14ac:dyDescent="0.2">
      <c r="A291" s="4"/>
      <c r="B291" s="4"/>
    </row>
    <row r="292" spans="1:2" x14ac:dyDescent="0.2">
      <c r="A292" s="4"/>
      <c r="B292" s="4"/>
    </row>
    <row r="293" spans="1:2" x14ac:dyDescent="0.2">
      <c r="A293" s="4"/>
      <c r="B293" s="4"/>
    </row>
    <row r="294" spans="1:2" x14ac:dyDescent="0.2">
      <c r="A294" s="4"/>
      <c r="B294" s="4"/>
    </row>
    <row r="295" spans="1:2" x14ac:dyDescent="0.2">
      <c r="A295" s="4"/>
      <c r="B295" s="4"/>
    </row>
    <row r="296" spans="1:2" x14ac:dyDescent="0.2">
      <c r="A296" s="4"/>
      <c r="B296" s="4"/>
    </row>
    <row r="297" spans="1:2" x14ac:dyDescent="0.2">
      <c r="A297" s="4"/>
      <c r="B297" s="4"/>
    </row>
    <row r="298" spans="1:2" x14ac:dyDescent="0.2">
      <c r="A298" s="4"/>
      <c r="B298" s="4"/>
    </row>
    <row r="299" spans="1:2" x14ac:dyDescent="0.2">
      <c r="A299" s="4"/>
      <c r="B299" s="4"/>
    </row>
    <row r="300" spans="1:2" x14ac:dyDescent="0.2">
      <c r="A300" s="4"/>
      <c r="B300" s="4"/>
    </row>
    <row r="301" spans="1:2" x14ac:dyDescent="0.2">
      <c r="A301" s="4"/>
      <c r="B301" s="4"/>
    </row>
    <row r="302" spans="1:2" x14ac:dyDescent="0.2">
      <c r="A302" s="4"/>
      <c r="B302" s="4"/>
    </row>
    <row r="303" spans="1:2" x14ac:dyDescent="0.2">
      <c r="A303" s="4"/>
      <c r="B303" s="4"/>
    </row>
    <row r="304" spans="1:2" x14ac:dyDescent="0.2">
      <c r="A304" s="4"/>
      <c r="B304" s="4"/>
    </row>
    <row r="305" spans="1:2" x14ac:dyDescent="0.2">
      <c r="A305" s="4"/>
      <c r="B305" s="4"/>
    </row>
    <row r="306" spans="1:2" x14ac:dyDescent="0.2">
      <c r="A306" s="4"/>
      <c r="B306" s="4"/>
    </row>
    <row r="307" spans="1:2" x14ac:dyDescent="0.2">
      <c r="A307" s="4"/>
      <c r="B307" s="4"/>
    </row>
    <row r="308" spans="1:2" x14ac:dyDescent="0.2">
      <c r="A308" s="4"/>
      <c r="B308" s="4"/>
    </row>
    <row r="309" spans="1:2" x14ac:dyDescent="0.2">
      <c r="A309" s="4"/>
      <c r="B309" s="4"/>
    </row>
    <row r="310" spans="1:2" x14ac:dyDescent="0.2">
      <c r="A310" s="4"/>
      <c r="B310" s="4"/>
    </row>
    <row r="311" spans="1:2" x14ac:dyDescent="0.2">
      <c r="A311" s="4"/>
      <c r="B311" s="4"/>
    </row>
    <row r="312" spans="1:2" x14ac:dyDescent="0.2">
      <c r="A312" s="4"/>
      <c r="B312" s="4"/>
    </row>
    <row r="313" spans="1:2" x14ac:dyDescent="0.2">
      <c r="A313" s="4"/>
      <c r="B313" s="4"/>
    </row>
    <row r="314" spans="1:2" x14ac:dyDescent="0.2">
      <c r="A314" s="4"/>
      <c r="B314" s="4"/>
    </row>
    <row r="315" spans="1:2" x14ac:dyDescent="0.2">
      <c r="A315" s="4"/>
      <c r="B315" s="4"/>
    </row>
    <row r="316" spans="1:2" x14ac:dyDescent="0.2">
      <c r="A316" s="4"/>
      <c r="B316" s="4"/>
    </row>
    <row r="317" spans="1:2" x14ac:dyDescent="0.2">
      <c r="A317" s="4"/>
      <c r="B317" s="4"/>
    </row>
    <row r="318" spans="1:2" x14ac:dyDescent="0.2">
      <c r="A318" s="4"/>
      <c r="B318" s="4"/>
    </row>
    <row r="319" spans="1:2" x14ac:dyDescent="0.2">
      <c r="A319" s="4"/>
      <c r="B319" s="4"/>
    </row>
    <row r="320" spans="1:2" x14ac:dyDescent="0.2">
      <c r="A320" s="4"/>
      <c r="B320" s="4"/>
    </row>
    <row r="321" spans="1:2" x14ac:dyDescent="0.2">
      <c r="A321" s="4"/>
      <c r="B321" s="4"/>
    </row>
    <row r="322" spans="1:2" x14ac:dyDescent="0.2">
      <c r="A322" s="4"/>
      <c r="B322" s="4"/>
    </row>
    <row r="323" spans="1:2" x14ac:dyDescent="0.2">
      <c r="A323" s="4"/>
      <c r="B323" s="4"/>
    </row>
    <row r="324" spans="1:2" x14ac:dyDescent="0.2">
      <c r="A324" s="4"/>
      <c r="B324" s="4"/>
    </row>
    <row r="325" spans="1:2" x14ac:dyDescent="0.2">
      <c r="A325" s="4"/>
      <c r="B325" s="4"/>
    </row>
    <row r="326" spans="1:2" x14ac:dyDescent="0.2">
      <c r="A326" s="4"/>
      <c r="B326" s="4"/>
    </row>
    <row r="327" spans="1:2" x14ac:dyDescent="0.2">
      <c r="A327" s="4"/>
      <c r="B327" s="4"/>
    </row>
    <row r="328" spans="1:2" x14ac:dyDescent="0.2">
      <c r="A328" s="4"/>
      <c r="B328" s="4"/>
    </row>
    <row r="329" spans="1:2" x14ac:dyDescent="0.2">
      <c r="A329" s="4"/>
      <c r="B329" s="4"/>
    </row>
    <row r="330" spans="1:2" x14ac:dyDescent="0.2">
      <c r="A330" s="4"/>
      <c r="B330" s="4"/>
    </row>
    <row r="331" spans="1:2" x14ac:dyDescent="0.2">
      <c r="A331" s="4"/>
      <c r="B331" s="4"/>
    </row>
    <row r="332" spans="1:2" x14ac:dyDescent="0.2">
      <c r="A332" s="4"/>
      <c r="B332" s="4"/>
    </row>
    <row r="333" spans="1:2" x14ac:dyDescent="0.2">
      <c r="A333" s="4"/>
      <c r="B333" s="4"/>
    </row>
    <row r="334" spans="1:2" x14ac:dyDescent="0.2">
      <c r="A334" s="4"/>
      <c r="B334" s="4"/>
    </row>
    <row r="335" spans="1:2" x14ac:dyDescent="0.2">
      <c r="A335" s="4"/>
      <c r="B335" s="4"/>
    </row>
    <row r="336" spans="1:2" x14ac:dyDescent="0.2">
      <c r="A336" s="4"/>
      <c r="B336" s="4"/>
    </row>
    <row r="337" spans="1:2" x14ac:dyDescent="0.2">
      <c r="A337" s="4"/>
      <c r="B337" s="4"/>
    </row>
    <row r="338" spans="1:2" x14ac:dyDescent="0.2">
      <c r="A338" s="4"/>
      <c r="B338" s="4"/>
    </row>
    <row r="339" spans="1:2" x14ac:dyDescent="0.2">
      <c r="A339" s="4"/>
      <c r="B339" s="4"/>
    </row>
    <row r="340" spans="1:2" x14ac:dyDescent="0.2">
      <c r="A340" s="4"/>
      <c r="B340" s="4"/>
    </row>
    <row r="341" spans="1:2" x14ac:dyDescent="0.2">
      <c r="A341" s="4"/>
      <c r="B341" s="4"/>
    </row>
    <row r="342" spans="1:2" x14ac:dyDescent="0.2">
      <c r="A342" s="4"/>
      <c r="B342" s="4"/>
    </row>
    <row r="343" spans="1:2" x14ac:dyDescent="0.2">
      <c r="A343" s="4"/>
      <c r="B343" s="4"/>
    </row>
    <row r="344" spans="1:2" x14ac:dyDescent="0.2">
      <c r="A344" s="4"/>
      <c r="B344" s="4"/>
    </row>
    <row r="345" spans="1:2" x14ac:dyDescent="0.2">
      <c r="A345" s="4"/>
      <c r="B345" s="4"/>
    </row>
    <row r="346" spans="1:2" x14ac:dyDescent="0.2">
      <c r="A346" s="4"/>
      <c r="B346" s="4"/>
    </row>
    <row r="347" spans="1:2" x14ac:dyDescent="0.2">
      <c r="A347" s="4"/>
      <c r="B347" s="4"/>
    </row>
    <row r="348" spans="1:2" x14ac:dyDescent="0.2">
      <c r="A348" s="4"/>
      <c r="B348" s="4"/>
    </row>
    <row r="349" spans="1:2" x14ac:dyDescent="0.2">
      <c r="A349" s="4"/>
      <c r="B349" s="4"/>
    </row>
    <row r="350" spans="1:2" x14ac:dyDescent="0.2">
      <c r="A350" s="4"/>
      <c r="B350" s="4"/>
    </row>
    <row r="351" spans="1:2" x14ac:dyDescent="0.2">
      <c r="A351" s="4"/>
      <c r="B351" s="4"/>
    </row>
    <row r="352" spans="1:2" x14ac:dyDescent="0.2">
      <c r="A352" s="4"/>
      <c r="B352" s="4"/>
    </row>
    <row r="353" spans="1:2" x14ac:dyDescent="0.2">
      <c r="A353" s="4"/>
      <c r="B353" s="4"/>
    </row>
    <row r="354" spans="1:2" x14ac:dyDescent="0.2">
      <c r="A354" s="4"/>
      <c r="B354" s="4"/>
    </row>
    <row r="355" spans="1:2" x14ac:dyDescent="0.2">
      <c r="A355" s="4"/>
      <c r="B355" s="4"/>
    </row>
    <row r="356" spans="1:2" x14ac:dyDescent="0.2">
      <c r="A356" s="4"/>
      <c r="B356" s="4"/>
    </row>
    <row r="357" spans="1:2" x14ac:dyDescent="0.2">
      <c r="A357" s="4"/>
      <c r="B357" s="4"/>
    </row>
    <row r="358" spans="1:2" x14ac:dyDescent="0.2">
      <c r="A358" s="4"/>
      <c r="B358" s="4"/>
    </row>
    <row r="359" spans="1:2" x14ac:dyDescent="0.2">
      <c r="A359" s="4"/>
      <c r="B359" s="4"/>
    </row>
    <row r="360" spans="1:2" x14ac:dyDescent="0.2">
      <c r="A360" s="4"/>
      <c r="B360" s="4"/>
    </row>
    <row r="361" spans="1:2" x14ac:dyDescent="0.2">
      <c r="A361" s="4"/>
      <c r="B361" s="4"/>
    </row>
    <row r="362" spans="1:2" x14ac:dyDescent="0.2">
      <c r="A362" s="4"/>
      <c r="B362" s="4"/>
    </row>
    <row r="363" spans="1:2" x14ac:dyDescent="0.2">
      <c r="A363" s="4"/>
      <c r="B363" s="4"/>
    </row>
    <row r="364" spans="1:2" x14ac:dyDescent="0.2">
      <c r="A364" s="4"/>
      <c r="B364" s="4"/>
    </row>
    <row r="365" spans="1:2" x14ac:dyDescent="0.2">
      <c r="A365" s="4"/>
      <c r="B365" s="4"/>
    </row>
    <row r="366" spans="1:2" x14ac:dyDescent="0.2">
      <c r="A366" s="4"/>
      <c r="B366" s="4"/>
    </row>
    <row r="367" spans="1:2" x14ac:dyDescent="0.2">
      <c r="A367" s="4"/>
      <c r="B367" s="4"/>
    </row>
    <row r="368" spans="1:2" x14ac:dyDescent="0.2">
      <c r="A368" s="4"/>
      <c r="B368" s="4"/>
    </row>
    <row r="369" spans="1:2" x14ac:dyDescent="0.2">
      <c r="A369" s="4"/>
      <c r="B369" s="4"/>
    </row>
    <row r="370" spans="1:2" x14ac:dyDescent="0.2">
      <c r="A370" s="4"/>
      <c r="B370" s="4"/>
    </row>
    <row r="371" spans="1:2" x14ac:dyDescent="0.2">
      <c r="A371" s="4"/>
      <c r="B371" s="4"/>
    </row>
    <row r="372" spans="1:2" x14ac:dyDescent="0.2">
      <c r="A372" s="4"/>
      <c r="B372" s="4"/>
    </row>
    <row r="373" spans="1:2" x14ac:dyDescent="0.2">
      <c r="A373" s="4"/>
      <c r="B373" s="4"/>
    </row>
    <row r="374" spans="1:2" x14ac:dyDescent="0.2">
      <c r="A374" s="4"/>
      <c r="B374" s="4"/>
    </row>
    <row r="375" spans="1:2" x14ac:dyDescent="0.2">
      <c r="A375" s="4"/>
      <c r="B375" s="4"/>
    </row>
    <row r="376" spans="1:2" x14ac:dyDescent="0.2">
      <c r="A376" s="4"/>
      <c r="B376" s="4"/>
    </row>
    <row r="377" spans="1:2" x14ac:dyDescent="0.2">
      <c r="A377" s="4"/>
      <c r="B377" s="4"/>
    </row>
    <row r="378" spans="1:2" x14ac:dyDescent="0.2">
      <c r="A378" s="4"/>
      <c r="B378" s="4"/>
    </row>
    <row r="379" spans="1:2" x14ac:dyDescent="0.2">
      <c r="A379" s="4"/>
      <c r="B379" s="4"/>
    </row>
    <row r="380" spans="1:2" x14ac:dyDescent="0.2">
      <c r="A380" s="4"/>
      <c r="B380" s="4"/>
    </row>
    <row r="381" spans="1:2" x14ac:dyDescent="0.2">
      <c r="A381" s="4"/>
      <c r="B381" s="4"/>
    </row>
    <row r="382" spans="1:2" x14ac:dyDescent="0.2">
      <c r="A382" s="4"/>
      <c r="B382" s="4"/>
    </row>
    <row r="383" spans="1:2" x14ac:dyDescent="0.2">
      <c r="A383" s="4"/>
      <c r="B383" s="4"/>
    </row>
    <row r="384" spans="1:2" x14ac:dyDescent="0.2">
      <c r="A384" s="4"/>
      <c r="B384" s="4"/>
    </row>
    <row r="385" spans="1:2" x14ac:dyDescent="0.2">
      <c r="A385" s="4"/>
      <c r="B385" s="4"/>
    </row>
    <row r="386" spans="1:2" x14ac:dyDescent="0.2">
      <c r="A386" s="4"/>
      <c r="B386" s="4"/>
    </row>
    <row r="387" spans="1:2" x14ac:dyDescent="0.2">
      <c r="A387" s="4"/>
      <c r="B387" s="4"/>
    </row>
    <row r="388" spans="1:2" x14ac:dyDescent="0.2">
      <c r="A388" s="4"/>
      <c r="B388" s="4"/>
    </row>
    <row r="389" spans="1:2" x14ac:dyDescent="0.2">
      <c r="A389" s="4"/>
      <c r="B389" s="4"/>
    </row>
    <row r="390" spans="1:2" x14ac:dyDescent="0.2">
      <c r="A390" s="4"/>
      <c r="B390" s="4"/>
    </row>
    <row r="391" spans="1:2" x14ac:dyDescent="0.2">
      <c r="A391" s="4"/>
      <c r="B391" s="4"/>
    </row>
    <row r="392" spans="1:2" x14ac:dyDescent="0.2">
      <c r="A392" s="4"/>
      <c r="B392" s="4"/>
    </row>
    <row r="393" spans="1:2" x14ac:dyDescent="0.2">
      <c r="A393" s="4"/>
      <c r="B393" s="4"/>
    </row>
    <row r="394" spans="1:2" x14ac:dyDescent="0.2">
      <c r="A394" s="4"/>
      <c r="B394" s="4"/>
    </row>
    <row r="395" spans="1:2" x14ac:dyDescent="0.2">
      <c r="A395" s="4"/>
      <c r="B395" s="4"/>
    </row>
    <row r="396" spans="1:2" x14ac:dyDescent="0.2">
      <c r="A396" s="4"/>
      <c r="B396" s="4"/>
    </row>
    <row r="397" spans="1:2" x14ac:dyDescent="0.2">
      <c r="A397" s="4"/>
      <c r="B397" s="4"/>
    </row>
    <row r="398" spans="1:2" x14ac:dyDescent="0.2">
      <c r="A398" s="4"/>
      <c r="B398" s="4"/>
    </row>
    <row r="399" spans="1:2" x14ac:dyDescent="0.2">
      <c r="A399" s="4"/>
      <c r="B399" s="4"/>
    </row>
    <row r="400" spans="1:2" x14ac:dyDescent="0.2">
      <c r="A400" s="4"/>
      <c r="B400" s="4"/>
    </row>
    <row r="401" spans="1:2" x14ac:dyDescent="0.2">
      <c r="A401" s="4"/>
      <c r="B401" s="4"/>
    </row>
    <row r="402" spans="1:2" x14ac:dyDescent="0.2">
      <c r="A402" s="4"/>
      <c r="B402" s="4"/>
    </row>
    <row r="403" spans="1:2" x14ac:dyDescent="0.2">
      <c r="A403" s="4"/>
      <c r="B403" s="4"/>
    </row>
    <row r="404" spans="1:2" x14ac:dyDescent="0.2">
      <c r="A404" s="4"/>
      <c r="B404" s="4"/>
    </row>
    <row r="405" spans="1:2" x14ac:dyDescent="0.2">
      <c r="A405" s="4"/>
      <c r="B405" s="4"/>
    </row>
    <row r="406" spans="1:2" x14ac:dyDescent="0.2">
      <c r="A406" s="4"/>
      <c r="B406" s="4"/>
    </row>
    <row r="407" spans="1:2" x14ac:dyDescent="0.2">
      <c r="A407" s="4"/>
      <c r="B407" s="4"/>
    </row>
    <row r="408" spans="1:2" x14ac:dyDescent="0.2">
      <c r="A408" s="4"/>
      <c r="B408" s="4"/>
    </row>
    <row r="409" spans="1:2" x14ac:dyDescent="0.2">
      <c r="A409" s="4"/>
      <c r="B409" s="4"/>
    </row>
    <row r="410" spans="1:2" x14ac:dyDescent="0.2">
      <c r="A410" s="4"/>
      <c r="B410" s="4"/>
    </row>
    <row r="411" spans="1:2" x14ac:dyDescent="0.2">
      <c r="A411" s="4"/>
      <c r="B411" s="4"/>
    </row>
    <row r="412" spans="1:2" x14ac:dyDescent="0.2">
      <c r="A412" s="4"/>
      <c r="B412" s="4"/>
    </row>
    <row r="413" spans="1:2" x14ac:dyDescent="0.2">
      <c r="A413" s="4"/>
      <c r="B413" s="4"/>
    </row>
    <row r="414" spans="1:2" x14ac:dyDescent="0.2">
      <c r="A414" s="4"/>
      <c r="B414" s="4"/>
    </row>
    <row r="415" spans="1:2" x14ac:dyDescent="0.2">
      <c r="A415" s="4"/>
      <c r="B415" s="4"/>
    </row>
    <row r="416" spans="1:2" x14ac:dyDescent="0.2">
      <c r="A416" s="4"/>
      <c r="B416" s="4"/>
    </row>
    <row r="417" spans="1:2" x14ac:dyDescent="0.2">
      <c r="A417" s="4"/>
      <c r="B417" s="4"/>
    </row>
    <row r="418" spans="1:2" x14ac:dyDescent="0.2">
      <c r="A418" s="4"/>
      <c r="B418" s="4"/>
    </row>
    <row r="419" spans="1:2" x14ac:dyDescent="0.2">
      <c r="A419" s="4"/>
      <c r="B419" s="4"/>
    </row>
    <row r="420" spans="1:2" x14ac:dyDescent="0.2">
      <c r="A420" s="4"/>
      <c r="B420" s="4"/>
    </row>
    <row r="421" spans="1:2" x14ac:dyDescent="0.2">
      <c r="A421" s="4"/>
      <c r="B421" s="4"/>
    </row>
    <row r="422" spans="1:2" x14ac:dyDescent="0.2">
      <c r="A422" s="4"/>
      <c r="B422" s="4"/>
    </row>
    <row r="423" spans="1:2" x14ac:dyDescent="0.2">
      <c r="A423" s="4"/>
      <c r="B423" s="4"/>
    </row>
    <row r="424" spans="1:2" x14ac:dyDescent="0.2">
      <c r="A424" s="4"/>
      <c r="B424" s="4"/>
    </row>
    <row r="425" spans="1:2" x14ac:dyDescent="0.2">
      <c r="A425" s="4"/>
      <c r="B425" s="4"/>
    </row>
    <row r="426" spans="1:2" x14ac:dyDescent="0.2">
      <c r="A426" s="4"/>
      <c r="B426" s="4"/>
    </row>
    <row r="427" spans="1:2" x14ac:dyDescent="0.2">
      <c r="A427" s="4"/>
      <c r="B427" s="4"/>
    </row>
    <row r="428" spans="1:2" x14ac:dyDescent="0.2">
      <c r="A428" s="4"/>
      <c r="B428" s="4"/>
    </row>
    <row r="429" spans="1:2" x14ac:dyDescent="0.2">
      <c r="A429" s="4"/>
      <c r="B429" s="4"/>
    </row>
    <row r="430" spans="1:2" x14ac:dyDescent="0.2">
      <c r="A430" s="4"/>
      <c r="B430" s="4"/>
    </row>
    <row r="431" spans="1:2" x14ac:dyDescent="0.2">
      <c r="A431" s="4"/>
      <c r="B431" s="4"/>
    </row>
    <row r="432" spans="1:2" x14ac:dyDescent="0.2">
      <c r="A432" s="4"/>
      <c r="B432" s="4"/>
    </row>
    <row r="433" spans="1:2" x14ac:dyDescent="0.2">
      <c r="A433" s="4"/>
      <c r="B433" s="4"/>
    </row>
    <row r="434" spans="1:2" x14ac:dyDescent="0.2">
      <c r="A434" s="4"/>
      <c r="B434" s="4"/>
    </row>
    <row r="435" spans="1:2" x14ac:dyDescent="0.2">
      <c r="A435" s="4"/>
      <c r="B435" s="4"/>
    </row>
    <row r="436" spans="1:2" x14ac:dyDescent="0.2">
      <c r="A436" s="4"/>
      <c r="B436" s="4"/>
    </row>
    <row r="437" spans="1:2" x14ac:dyDescent="0.2">
      <c r="A437" s="4"/>
      <c r="B437" s="4"/>
    </row>
    <row r="438" spans="1:2" x14ac:dyDescent="0.2">
      <c r="A438" s="4"/>
      <c r="B438" s="4"/>
    </row>
    <row r="439" spans="1:2" x14ac:dyDescent="0.2">
      <c r="A439" s="4"/>
      <c r="B439" s="4"/>
    </row>
    <row r="440" spans="1:2" x14ac:dyDescent="0.2">
      <c r="A440" s="4"/>
      <c r="B440" s="4"/>
    </row>
    <row r="441" spans="1:2" x14ac:dyDescent="0.2">
      <c r="A441" s="4"/>
      <c r="B441" s="4"/>
    </row>
    <row r="442" spans="1:2" x14ac:dyDescent="0.2">
      <c r="A442" s="4"/>
      <c r="B442" s="4"/>
    </row>
    <row r="443" spans="1:2" x14ac:dyDescent="0.2">
      <c r="A443" s="4"/>
      <c r="B443" s="4"/>
    </row>
    <row r="444" spans="1:2" x14ac:dyDescent="0.2">
      <c r="A444" s="4"/>
      <c r="B444" s="4"/>
    </row>
    <row r="445" spans="1:2" x14ac:dyDescent="0.2">
      <c r="A445" s="4"/>
      <c r="B445" s="4"/>
    </row>
    <row r="446" spans="1:2" x14ac:dyDescent="0.2">
      <c r="A446" s="4"/>
      <c r="B446" s="4"/>
    </row>
    <row r="447" spans="1:2" x14ac:dyDescent="0.2">
      <c r="A447" s="4"/>
      <c r="B447" s="4"/>
    </row>
    <row r="448" spans="1:2" x14ac:dyDescent="0.2">
      <c r="A448" s="4"/>
      <c r="B448" s="4"/>
    </row>
    <row r="449" spans="1:2" x14ac:dyDescent="0.2">
      <c r="A449" s="4"/>
      <c r="B449" s="4"/>
    </row>
    <row r="450" spans="1:2" x14ac:dyDescent="0.2">
      <c r="A450" s="4"/>
      <c r="B450" s="4"/>
    </row>
    <row r="451" spans="1:2" x14ac:dyDescent="0.2">
      <c r="A451" s="4"/>
      <c r="B451" s="4"/>
    </row>
    <row r="452" spans="1:2" x14ac:dyDescent="0.2">
      <c r="A452" s="4"/>
      <c r="B452" s="4"/>
    </row>
    <row r="453" spans="1:2" x14ac:dyDescent="0.2">
      <c r="A453" s="4"/>
      <c r="B453" s="4"/>
    </row>
    <row r="454" spans="1:2" x14ac:dyDescent="0.2">
      <c r="A454" s="4"/>
      <c r="B454" s="4"/>
    </row>
    <row r="455" spans="1:2" x14ac:dyDescent="0.2">
      <c r="A455" s="4"/>
      <c r="B455" s="4"/>
    </row>
    <row r="456" spans="1:2" x14ac:dyDescent="0.2">
      <c r="A456" s="4"/>
      <c r="B456" s="4"/>
    </row>
    <row r="457" spans="1:2" x14ac:dyDescent="0.2">
      <c r="A457" s="4"/>
      <c r="B457" s="4"/>
    </row>
    <row r="458" spans="1:2" x14ac:dyDescent="0.2">
      <c r="A458" s="4"/>
      <c r="B458" s="4"/>
    </row>
    <row r="459" spans="1:2" x14ac:dyDescent="0.2">
      <c r="A459" s="4"/>
      <c r="B459" s="4"/>
    </row>
    <row r="460" spans="1:2" x14ac:dyDescent="0.2">
      <c r="A460" s="4"/>
      <c r="B460" s="4"/>
    </row>
    <row r="461" spans="1:2" x14ac:dyDescent="0.2">
      <c r="A461" s="4"/>
      <c r="B461" s="4"/>
    </row>
    <row r="462" spans="1:2" x14ac:dyDescent="0.2">
      <c r="A462" s="4"/>
      <c r="B462" s="4"/>
    </row>
    <row r="463" spans="1:2" x14ac:dyDescent="0.2">
      <c r="A463" s="4"/>
      <c r="B463" s="4"/>
    </row>
    <row r="464" spans="1:2" x14ac:dyDescent="0.2">
      <c r="A464" s="4"/>
      <c r="B464" s="4"/>
    </row>
    <row r="465" spans="1:2" x14ac:dyDescent="0.2">
      <c r="A465" s="4"/>
      <c r="B465" s="4"/>
    </row>
    <row r="466" spans="1:2" x14ac:dyDescent="0.2">
      <c r="A466" s="4"/>
      <c r="B466" s="4"/>
    </row>
    <row r="467" spans="1:2" x14ac:dyDescent="0.2">
      <c r="A467" s="4"/>
      <c r="B467" s="4"/>
    </row>
    <row r="468" spans="1:2" x14ac:dyDescent="0.2">
      <c r="A468" s="4"/>
      <c r="B468" s="4"/>
    </row>
    <row r="469" spans="1:2" x14ac:dyDescent="0.2">
      <c r="A469" s="4"/>
      <c r="B469" s="4"/>
    </row>
    <row r="470" spans="1:2" x14ac:dyDescent="0.2">
      <c r="A470" s="4"/>
      <c r="B470" s="4"/>
    </row>
    <row r="471" spans="1:2" x14ac:dyDescent="0.2">
      <c r="A471" s="4"/>
      <c r="B471" s="4"/>
    </row>
    <row r="472" spans="1:2" x14ac:dyDescent="0.2">
      <c r="A472" s="4"/>
      <c r="B472" s="4"/>
    </row>
    <row r="473" spans="1:2" x14ac:dyDescent="0.2">
      <c r="A473" s="4"/>
      <c r="B473" s="4"/>
    </row>
    <row r="474" spans="1:2" x14ac:dyDescent="0.2">
      <c r="A474" s="4"/>
      <c r="B474" s="4"/>
    </row>
    <row r="475" spans="1:2" x14ac:dyDescent="0.2">
      <c r="A475" s="4"/>
      <c r="B475" s="4"/>
    </row>
    <row r="476" spans="1:2" x14ac:dyDescent="0.2">
      <c r="A476" s="4"/>
      <c r="B476" s="4"/>
    </row>
    <row r="477" spans="1:2" x14ac:dyDescent="0.2">
      <c r="A477" s="4"/>
      <c r="B477" s="4"/>
    </row>
    <row r="478" spans="1:2" x14ac:dyDescent="0.2">
      <c r="A478" s="4"/>
      <c r="B478" s="4"/>
    </row>
    <row r="479" spans="1:2" x14ac:dyDescent="0.2">
      <c r="A479" s="4"/>
      <c r="B479" s="4"/>
    </row>
    <row r="480" spans="1:2" x14ac:dyDescent="0.2">
      <c r="A480" s="4"/>
      <c r="B480" s="4"/>
    </row>
    <row r="481" spans="1:2" x14ac:dyDescent="0.2">
      <c r="A481" s="4"/>
      <c r="B481" s="4"/>
    </row>
    <row r="482" spans="1:2" x14ac:dyDescent="0.2">
      <c r="A482" s="4"/>
      <c r="B482" s="4"/>
    </row>
    <row r="483" spans="1:2" x14ac:dyDescent="0.2">
      <c r="A483" s="4"/>
      <c r="B483" s="4"/>
    </row>
    <row r="484" spans="1:2" x14ac:dyDescent="0.2">
      <c r="A484" s="4"/>
      <c r="B484" s="4"/>
    </row>
    <row r="485" spans="1:2" x14ac:dyDescent="0.2">
      <c r="A485" s="4"/>
      <c r="B485" s="4"/>
    </row>
    <row r="486" spans="1:2" x14ac:dyDescent="0.2">
      <c r="A486" s="4"/>
      <c r="B486" s="4"/>
    </row>
    <row r="487" spans="1:2" x14ac:dyDescent="0.2">
      <c r="A487" s="4"/>
      <c r="B487" s="4"/>
    </row>
    <row r="488" spans="1:2" x14ac:dyDescent="0.2">
      <c r="A488" s="4"/>
      <c r="B488" s="4"/>
    </row>
    <row r="489" spans="1:2" x14ac:dyDescent="0.2">
      <c r="A489" s="4"/>
      <c r="B489" s="4"/>
    </row>
    <row r="490" spans="1:2" x14ac:dyDescent="0.2">
      <c r="A490" s="4"/>
      <c r="B490" s="4"/>
    </row>
    <row r="491" spans="1:2" x14ac:dyDescent="0.2">
      <c r="A491" s="4"/>
      <c r="B491" s="4"/>
    </row>
    <row r="492" spans="1:2" x14ac:dyDescent="0.2">
      <c r="A492" s="4"/>
      <c r="B492" s="4"/>
    </row>
    <row r="493" spans="1:2" x14ac:dyDescent="0.2">
      <c r="A493" s="4"/>
      <c r="B493" s="4"/>
    </row>
    <row r="494" spans="1:2" x14ac:dyDescent="0.2">
      <c r="A494" s="4"/>
      <c r="B494" s="4"/>
    </row>
    <row r="495" spans="1:2" x14ac:dyDescent="0.2">
      <c r="A495" s="4"/>
      <c r="B495" s="4"/>
    </row>
    <row r="496" spans="1:2" x14ac:dyDescent="0.2">
      <c r="A496" s="4"/>
      <c r="B496" s="4"/>
    </row>
    <row r="497" spans="1:2" x14ac:dyDescent="0.2">
      <c r="A497" s="4"/>
      <c r="B497" s="4"/>
    </row>
    <row r="498" spans="1:2" x14ac:dyDescent="0.2">
      <c r="A498" s="4"/>
      <c r="B498" s="4"/>
    </row>
    <row r="499" spans="1:2" x14ac:dyDescent="0.2">
      <c r="A499" s="4"/>
      <c r="B499" s="4"/>
    </row>
    <row r="500" spans="1:2" x14ac:dyDescent="0.2">
      <c r="A500" s="4"/>
      <c r="B500" s="4"/>
    </row>
    <row r="501" spans="1:2" x14ac:dyDescent="0.2">
      <c r="A501" s="4"/>
      <c r="B501" s="4"/>
    </row>
    <row r="502" spans="1:2" x14ac:dyDescent="0.2">
      <c r="A502" s="4"/>
      <c r="B502" s="4"/>
    </row>
    <row r="503" spans="1:2" x14ac:dyDescent="0.2">
      <c r="A503" s="4"/>
      <c r="B503" s="4"/>
    </row>
    <row r="504" spans="1:2" x14ac:dyDescent="0.2">
      <c r="A504" s="4"/>
      <c r="B504" s="4"/>
    </row>
    <row r="505" spans="1:2" x14ac:dyDescent="0.2">
      <c r="A505" s="4"/>
      <c r="B505" s="4"/>
    </row>
    <row r="506" spans="1:2" x14ac:dyDescent="0.2">
      <c r="A506" s="4"/>
      <c r="B506" s="4"/>
    </row>
    <row r="507" spans="1:2" x14ac:dyDescent="0.2">
      <c r="A507" s="4"/>
      <c r="B507" s="4"/>
    </row>
    <row r="508" spans="1:2" x14ac:dyDescent="0.2">
      <c r="A508" s="4"/>
      <c r="B508" s="4"/>
    </row>
    <row r="509" spans="1:2" x14ac:dyDescent="0.2">
      <c r="A509" s="4"/>
      <c r="B509" s="4"/>
    </row>
    <row r="510" spans="1:2" x14ac:dyDescent="0.2">
      <c r="A510" s="4"/>
      <c r="B510" s="4"/>
    </row>
    <row r="511" spans="1:2" x14ac:dyDescent="0.2">
      <c r="A511" s="4"/>
      <c r="B511" s="4"/>
    </row>
    <row r="512" spans="1:2" x14ac:dyDescent="0.2">
      <c r="A512" s="4"/>
      <c r="B512" s="4"/>
    </row>
    <row r="513" spans="1:2" x14ac:dyDescent="0.2">
      <c r="A513" s="4"/>
      <c r="B513" s="4"/>
    </row>
    <row r="514" spans="1:2" x14ac:dyDescent="0.2">
      <c r="A514" s="4"/>
      <c r="B514" s="4"/>
    </row>
    <row r="515" spans="1:2" x14ac:dyDescent="0.2">
      <c r="A515" s="4"/>
      <c r="B515" s="4"/>
    </row>
    <row r="516" spans="1:2" x14ac:dyDescent="0.2">
      <c r="A516" s="4"/>
      <c r="B516" s="4"/>
    </row>
    <row r="517" spans="1:2" x14ac:dyDescent="0.2">
      <c r="A517" s="4"/>
      <c r="B517" s="4"/>
    </row>
    <row r="518" spans="1:2" x14ac:dyDescent="0.2">
      <c r="A518" s="4"/>
      <c r="B518" s="4"/>
    </row>
    <row r="519" spans="1:2" x14ac:dyDescent="0.2">
      <c r="A519" s="4"/>
      <c r="B519" s="4"/>
    </row>
    <row r="520" spans="1:2" x14ac:dyDescent="0.2">
      <c r="A520" s="4"/>
      <c r="B520" s="4"/>
    </row>
    <row r="521" spans="1:2" x14ac:dyDescent="0.2">
      <c r="A521" s="4"/>
      <c r="B521" s="4"/>
    </row>
    <row r="522" spans="1:2" x14ac:dyDescent="0.2">
      <c r="A522" s="4"/>
      <c r="B522" s="4"/>
    </row>
    <row r="523" spans="1:2" x14ac:dyDescent="0.2">
      <c r="A523" s="4"/>
      <c r="B523" s="4"/>
    </row>
    <row r="524" spans="1:2" x14ac:dyDescent="0.2">
      <c r="A524" s="4"/>
      <c r="B524" s="4"/>
    </row>
    <row r="525" spans="1:2" x14ac:dyDescent="0.2">
      <c r="A525" s="4"/>
      <c r="B525" s="4"/>
    </row>
    <row r="526" spans="1:2" x14ac:dyDescent="0.2">
      <c r="A526" s="4"/>
      <c r="B526" s="4"/>
    </row>
    <row r="527" spans="1:2" x14ac:dyDescent="0.2">
      <c r="A527" s="4"/>
      <c r="B527" s="4"/>
    </row>
    <row r="528" spans="1:2" x14ac:dyDescent="0.2">
      <c r="A528" s="4"/>
      <c r="B528" s="4"/>
    </row>
    <row r="529" spans="1:2" x14ac:dyDescent="0.2">
      <c r="A529" s="4"/>
      <c r="B529" s="4"/>
    </row>
    <row r="530" spans="1:2" x14ac:dyDescent="0.2">
      <c r="A530" s="4"/>
      <c r="B530" s="4"/>
    </row>
    <row r="531" spans="1:2" x14ac:dyDescent="0.2">
      <c r="A531" s="4"/>
      <c r="B531" s="4"/>
    </row>
    <row r="532" spans="1:2" x14ac:dyDescent="0.2">
      <c r="A532" s="4"/>
      <c r="B532" s="4"/>
    </row>
    <row r="533" spans="1:2" x14ac:dyDescent="0.2">
      <c r="A533" s="4"/>
      <c r="B533" s="4"/>
    </row>
    <row r="534" spans="1:2" x14ac:dyDescent="0.2">
      <c r="A534" s="4"/>
      <c r="B534" s="4"/>
    </row>
    <row r="535" spans="1:2" x14ac:dyDescent="0.2">
      <c r="A535" s="4"/>
      <c r="B535" s="4"/>
    </row>
    <row r="536" spans="1:2" x14ac:dyDescent="0.2">
      <c r="A536" s="4"/>
      <c r="B536" s="4"/>
    </row>
    <row r="537" spans="1:2" x14ac:dyDescent="0.2">
      <c r="A537" s="4"/>
      <c r="B537" s="4"/>
    </row>
    <row r="538" spans="1:2" x14ac:dyDescent="0.2">
      <c r="A538" s="4"/>
      <c r="B538" s="4"/>
    </row>
    <row r="539" spans="1:2" x14ac:dyDescent="0.2">
      <c r="A539" s="4"/>
      <c r="B539" s="4"/>
    </row>
    <row r="540" spans="1:2" x14ac:dyDescent="0.2">
      <c r="A540" s="4"/>
      <c r="B540" s="4"/>
    </row>
    <row r="541" spans="1:2" x14ac:dyDescent="0.2">
      <c r="A541" s="4"/>
      <c r="B541" s="4"/>
    </row>
    <row r="542" spans="1:2" x14ac:dyDescent="0.2">
      <c r="A542" s="4"/>
      <c r="B542" s="4"/>
    </row>
    <row r="543" spans="1:2" x14ac:dyDescent="0.2">
      <c r="A543" s="4"/>
      <c r="B543" s="4"/>
    </row>
    <row r="544" spans="1:2" x14ac:dyDescent="0.2">
      <c r="A544" s="4"/>
      <c r="B544" s="4"/>
    </row>
    <row r="545" spans="1:2" x14ac:dyDescent="0.2">
      <c r="A545" s="4"/>
      <c r="B545" s="4"/>
    </row>
    <row r="546" spans="1:2" x14ac:dyDescent="0.2">
      <c r="A546" s="4"/>
      <c r="B546" s="4"/>
    </row>
    <row r="547" spans="1:2" x14ac:dyDescent="0.2">
      <c r="A547" s="4"/>
      <c r="B547" s="4"/>
    </row>
    <row r="548" spans="1:2" x14ac:dyDescent="0.2">
      <c r="A548" s="4"/>
      <c r="B548" s="4"/>
    </row>
    <row r="549" spans="1:2" x14ac:dyDescent="0.2">
      <c r="A549" s="4"/>
      <c r="B549" s="4"/>
    </row>
    <row r="550" spans="1:2" x14ac:dyDescent="0.2">
      <c r="A550" s="4"/>
      <c r="B550" s="4"/>
    </row>
    <row r="551" spans="1:2" x14ac:dyDescent="0.2">
      <c r="A551" s="4"/>
      <c r="B551" s="4"/>
    </row>
    <row r="552" spans="1:2" x14ac:dyDescent="0.2">
      <c r="A552" s="4"/>
      <c r="B552" s="4"/>
    </row>
    <row r="553" spans="1:2" x14ac:dyDescent="0.2">
      <c r="A553" s="4"/>
      <c r="B553" s="4"/>
    </row>
    <row r="554" spans="1:2" x14ac:dyDescent="0.2">
      <c r="A554" s="4"/>
      <c r="B554" s="4"/>
    </row>
    <row r="555" spans="1:2" x14ac:dyDescent="0.2">
      <c r="A555" s="4"/>
      <c r="B555" s="4"/>
    </row>
    <row r="556" spans="1:2" x14ac:dyDescent="0.2">
      <c r="A556" s="4"/>
      <c r="B556" s="4"/>
    </row>
    <row r="557" spans="1:2" x14ac:dyDescent="0.2">
      <c r="A557" s="4"/>
      <c r="B557" s="4"/>
    </row>
    <row r="558" spans="1:2" x14ac:dyDescent="0.2">
      <c r="A558" s="4"/>
      <c r="B558" s="4"/>
    </row>
    <row r="559" spans="1:2" x14ac:dyDescent="0.2">
      <c r="A559" s="4"/>
      <c r="B559" s="4"/>
    </row>
    <row r="560" spans="1:2" x14ac:dyDescent="0.2">
      <c r="A560" s="4"/>
      <c r="B560" s="4"/>
    </row>
    <row r="561" spans="1:2" x14ac:dyDescent="0.2">
      <c r="A561" s="4"/>
      <c r="B561" s="4"/>
    </row>
    <row r="562" spans="1:2" x14ac:dyDescent="0.2">
      <c r="A562" s="4"/>
      <c r="B562" s="4"/>
    </row>
    <row r="563" spans="1:2" x14ac:dyDescent="0.2">
      <c r="A563" s="4"/>
      <c r="B563" s="4"/>
    </row>
    <row r="564" spans="1:2" x14ac:dyDescent="0.2">
      <c r="A564" s="4"/>
      <c r="B564" s="4"/>
    </row>
    <row r="565" spans="1:2" x14ac:dyDescent="0.2">
      <c r="A565" s="4"/>
      <c r="B565" s="4"/>
    </row>
    <row r="566" spans="1:2" x14ac:dyDescent="0.2">
      <c r="A566" s="4"/>
      <c r="B566" s="4"/>
    </row>
    <row r="567" spans="1:2" x14ac:dyDescent="0.2">
      <c r="A567" s="4"/>
      <c r="B567" s="4"/>
    </row>
    <row r="568" spans="1:2" x14ac:dyDescent="0.2">
      <c r="A568" s="4"/>
      <c r="B568" s="4"/>
    </row>
    <row r="569" spans="1:2" x14ac:dyDescent="0.2">
      <c r="A569" s="4"/>
      <c r="B569" s="4"/>
    </row>
    <row r="570" spans="1:2" x14ac:dyDescent="0.2">
      <c r="A570" s="4"/>
      <c r="B570" s="4"/>
    </row>
    <row r="571" spans="1:2" x14ac:dyDescent="0.2">
      <c r="A571" s="4"/>
      <c r="B571" s="4"/>
    </row>
    <row r="572" spans="1:2" x14ac:dyDescent="0.2">
      <c r="A572" s="4"/>
      <c r="B572" s="4"/>
    </row>
    <row r="573" spans="1:2" x14ac:dyDescent="0.2">
      <c r="A573" s="4"/>
      <c r="B573" s="4"/>
    </row>
    <row r="574" spans="1:2" x14ac:dyDescent="0.2">
      <c r="A574" s="4"/>
      <c r="B574" s="4"/>
    </row>
    <row r="575" spans="1:2" x14ac:dyDescent="0.2">
      <c r="A575" s="4"/>
      <c r="B575" s="4"/>
    </row>
    <row r="576" spans="1:2" x14ac:dyDescent="0.2">
      <c r="A576" s="4"/>
      <c r="B576" s="4"/>
    </row>
    <row r="577" spans="1:2" x14ac:dyDescent="0.2">
      <c r="A577" s="4"/>
      <c r="B577" s="4"/>
    </row>
    <row r="578" spans="1:2" x14ac:dyDescent="0.2">
      <c r="A578" s="4"/>
      <c r="B578" s="4"/>
    </row>
    <row r="579" spans="1:2" x14ac:dyDescent="0.2">
      <c r="A579" s="4"/>
      <c r="B579" s="4"/>
    </row>
    <row r="580" spans="1:2" x14ac:dyDescent="0.2">
      <c r="A580" s="4"/>
      <c r="B580" s="4"/>
    </row>
    <row r="581" spans="1:2" x14ac:dyDescent="0.2">
      <c r="A581" s="4"/>
      <c r="B581" s="4"/>
    </row>
    <row r="582" spans="1:2" x14ac:dyDescent="0.2">
      <c r="A582" s="4"/>
      <c r="B582" s="4"/>
    </row>
    <row r="583" spans="1:2" x14ac:dyDescent="0.2">
      <c r="A583" s="4"/>
      <c r="B583" s="4"/>
    </row>
    <row r="584" spans="1:2" x14ac:dyDescent="0.2">
      <c r="A584" s="4"/>
      <c r="B584" s="4"/>
    </row>
    <row r="585" spans="1:2" x14ac:dyDescent="0.2">
      <c r="A585" s="4"/>
      <c r="B585" s="4"/>
    </row>
    <row r="586" spans="1:2" x14ac:dyDescent="0.2">
      <c r="A586" s="4"/>
      <c r="B586" s="4"/>
    </row>
    <row r="587" spans="1:2" x14ac:dyDescent="0.2">
      <c r="A587" s="4"/>
      <c r="B587" s="4"/>
    </row>
    <row r="588" spans="1:2" x14ac:dyDescent="0.2">
      <c r="A588" s="4"/>
      <c r="B588" s="4"/>
    </row>
    <row r="589" spans="1:2" x14ac:dyDescent="0.2">
      <c r="A589" s="4"/>
      <c r="B589" s="4"/>
    </row>
    <row r="590" spans="1:2" x14ac:dyDescent="0.2">
      <c r="A590" s="4"/>
      <c r="B590" s="4"/>
    </row>
    <row r="591" spans="1:2" x14ac:dyDescent="0.2">
      <c r="A591" s="4"/>
      <c r="B591" s="4"/>
    </row>
    <row r="592" spans="1:2" x14ac:dyDescent="0.2">
      <c r="A592" s="4"/>
      <c r="B592" s="4"/>
    </row>
    <row r="593" spans="1:2" x14ac:dyDescent="0.2">
      <c r="A593" s="4"/>
      <c r="B593" s="4"/>
    </row>
    <row r="594" spans="1:2" x14ac:dyDescent="0.2">
      <c r="A594" s="4"/>
      <c r="B594" s="4"/>
    </row>
    <row r="595" spans="1:2" x14ac:dyDescent="0.2">
      <c r="A595" s="4"/>
      <c r="B595" s="4"/>
    </row>
    <row r="596" spans="1:2" x14ac:dyDescent="0.2">
      <c r="A596" s="4"/>
      <c r="B596" s="4"/>
    </row>
    <row r="597" spans="1:2" x14ac:dyDescent="0.2">
      <c r="A597" s="4"/>
      <c r="B597" s="4"/>
    </row>
    <row r="598" spans="1:2" x14ac:dyDescent="0.2">
      <c r="A598" s="4"/>
      <c r="B598" s="4"/>
    </row>
    <row r="599" spans="1:2" x14ac:dyDescent="0.2">
      <c r="A599" s="4"/>
      <c r="B599" s="4"/>
    </row>
    <row r="600" spans="1:2" x14ac:dyDescent="0.2">
      <c r="A600" s="4"/>
      <c r="B600" s="4"/>
    </row>
    <row r="601" spans="1:2" x14ac:dyDescent="0.2">
      <c r="A601" s="4"/>
      <c r="B601" s="4"/>
    </row>
    <row r="602" spans="1:2" x14ac:dyDescent="0.2">
      <c r="A602" s="4"/>
      <c r="B602" s="4"/>
    </row>
    <row r="603" spans="1:2" x14ac:dyDescent="0.2">
      <c r="A603" s="4"/>
      <c r="B603" s="4"/>
    </row>
    <row r="604" spans="1:2" x14ac:dyDescent="0.2">
      <c r="A604" s="4"/>
      <c r="B604" s="4"/>
    </row>
    <row r="605" spans="1:2" x14ac:dyDescent="0.2">
      <c r="A605" s="4"/>
      <c r="B605" s="4"/>
    </row>
    <row r="606" spans="1:2" x14ac:dyDescent="0.2">
      <c r="A606" s="4"/>
      <c r="B606" s="4"/>
    </row>
    <row r="607" spans="1:2" x14ac:dyDescent="0.2">
      <c r="A607" s="4"/>
      <c r="B607" s="4"/>
    </row>
    <row r="608" spans="1:2" x14ac:dyDescent="0.2">
      <c r="A608" s="4"/>
      <c r="B608" s="4"/>
    </row>
    <row r="609" spans="1:2" x14ac:dyDescent="0.2">
      <c r="A609" s="4"/>
      <c r="B609" s="4"/>
    </row>
    <row r="610" spans="1:2" x14ac:dyDescent="0.2">
      <c r="A610" s="4"/>
      <c r="B610" s="4"/>
    </row>
    <row r="611" spans="1:2" x14ac:dyDescent="0.2">
      <c r="A611" s="4"/>
      <c r="B611" s="4"/>
    </row>
    <row r="612" spans="1:2" x14ac:dyDescent="0.2">
      <c r="A612" s="4"/>
      <c r="B612" s="4"/>
    </row>
    <row r="613" spans="1:2" x14ac:dyDescent="0.2">
      <c r="A613" s="4"/>
      <c r="B613" s="4"/>
    </row>
    <row r="614" spans="1:2" x14ac:dyDescent="0.2">
      <c r="A614" s="4"/>
      <c r="B614" s="4"/>
    </row>
    <row r="615" spans="1:2" x14ac:dyDescent="0.2">
      <c r="A615" s="4"/>
      <c r="B615" s="4"/>
    </row>
    <row r="616" spans="1:2" x14ac:dyDescent="0.2">
      <c r="A616" s="4"/>
      <c r="B616" s="4"/>
    </row>
    <row r="617" spans="1:2" x14ac:dyDescent="0.2">
      <c r="A617" s="4"/>
      <c r="B617" s="4"/>
    </row>
    <row r="618" spans="1:2" x14ac:dyDescent="0.2">
      <c r="A618" s="4"/>
      <c r="B618" s="4"/>
    </row>
    <row r="619" spans="1:2" x14ac:dyDescent="0.2">
      <c r="A619" s="4"/>
      <c r="B619" s="4"/>
    </row>
    <row r="620" spans="1:2" x14ac:dyDescent="0.2">
      <c r="A620" s="4"/>
      <c r="B620" s="4"/>
    </row>
    <row r="621" spans="1:2" x14ac:dyDescent="0.2">
      <c r="A621" s="4"/>
      <c r="B621" s="4"/>
    </row>
    <row r="622" spans="1:2" x14ac:dyDescent="0.2">
      <c r="A622" s="4"/>
      <c r="B622" s="4"/>
    </row>
    <row r="623" spans="1:2" x14ac:dyDescent="0.2">
      <c r="A623" s="4"/>
      <c r="B623" s="4"/>
    </row>
    <row r="624" spans="1:2" x14ac:dyDescent="0.2">
      <c r="A624" s="4"/>
      <c r="B624" s="4"/>
    </row>
    <row r="625" spans="1:2" x14ac:dyDescent="0.2">
      <c r="A625" s="4"/>
      <c r="B625" s="4"/>
    </row>
    <row r="626" spans="1:2" x14ac:dyDescent="0.2">
      <c r="A626" s="4"/>
      <c r="B626" s="4"/>
    </row>
    <row r="627" spans="1:2" x14ac:dyDescent="0.2">
      <c r="A627" s="4"/>
      <c r="B627" s="4"/>
    </row>
    <row r="628" spans="1:2" x14ac:dyDescent="0.2">
      <c r="A628" s="4"/>
      <c r="B628" s="4"/>
    </row>
    <row r="629" spans="1:2" x14ac:dyDescent="0.2">
      <c r="A629" s="4"/>
      <c r="B629" s="4"/>
    </row>
    <row r="630" spans="1:2" x14ac:dyDescent="0.2">
      <c r="A630" s="4"/>
      <c r="B630" s="4"/>
    </row>
    <row r="631" spans="1:2" x14ac:dyDescent="0.2">
      <c r="A631" s="4"/>
      <c r="B631" s="4"/>
    </row>
    <row r="632" spans="1:2" x14ac:dyDescent="0.2">
      <c r="A632" s="4"/>
      <c r="B632" s="4"/>
    </row>
    <row r="633" spans="1:2" x14ac:dyDescent="0.2">
      <c r="A633" s="4"/>
      <c r="B633" s="4"/>
    </row>
    <row r="634" spans="1:2" x14ac:dyDescent="0.2">
      <c r="A634" s="4"/>
      <c r="B634" s="4"/>
    </row>
    <row r="635" spans="1:2" x14ac:dyDescent="0.2">
      <c r="A635" s="4"/>
      <c r="B635" s="4"/>
    </row>
    <row r="636" spans="1:2" x14ac:dyDescent="0.2">
      <c r="A636" s="4"/>
      <c r="B636" s="4"/>
    </row>
    <row r="637" spans="1:2" x14ac:dyDescent="0.2">
      <c r="A637" s="4"/>
      <c r="B637" s="4"/>
    </row>
    <row r="638" spans="1:2" x14ac:dyDescent="0.2">
      <c r="A638" s="4"/>
      <c r="B638" s="4"/>
    </row>
    <row r="639" spans="1:2" x14ac:dyDescent="0.2">
      <c r="A639" s="4"/>
      <c r="B639" s="4"/>
    </row>
    <row r="640" spans="1:2" x14ac:dyDescent="0.2">
      <c r="A640" s="4"/>
      <c r="B640" s="4"/>
    </row>
    <row r="641" spans="1:2" x14ac:dyDescent="0.2">
      <c r="A641" s="4"/>
      <c r="B641" s="4"/>
    </row>
    <row r="642" spans="1:2" x14ac:dyDescent="0.2">
      <c r="A642" s="4"/>
      <c r="B642" s="4"/>
    </row>
    <row r="643" spans="1:2" x14ac:dyDescent="0.2">
      <c r="A643" s="4"/>
      <c r="B643" s="4"/>
    </row>
    <row r="644" spans="1:2" x14ac:dyDescent="0.2">
      <c r="A644" s="4"/>
      <c r="B644" s="4"/>
    </row>
    <row r="645" spans="1:2" x14ac:dyDescent="0.2">
      <c r="A645" s="4"/>
      <c r="B645" s="4"/>
    </row>
    <row r="646" spans="1:2" x14ac:dyDescent="0.2">
      <c r="A646" s="4"/>
      <c r="B646" s="4"/>
    </row>
    <row r="647" spans="1:2" x14ac:dyDescent="0.2">
      <c r="A647" s="4"/>
      <c r="B647" s="4"/>
    </row>
    <row r="648" spans="1:2" x14ac:dyDescent="0.2">
      <c r="A648" s="4"/>
      <c r="B648" s="4"/>
    </row>
    <row r="649" spans="1:2" x14ac:dyDescent="0.2">
      <c r="A649" s="4"/>
      <c r="B649" s="4"/>
    </row>
    <row r="650" spans="1:2" x14ac:dyDescent="0.2">
      <c r="A650" s="4"/>
      <c r="B650" s="4"/>
    </row>
    <row r="651" spans="1:2" x14ac:dyDescent="0.2">
      <c r="A651" s="4"/>
      <c r="B651" s="4"/>
    </row>
    <row r="652" spans="1:2" x14ac:dyDescent="0.2">
      <c r="A652" s="4"/>
      <c r="B652" s="4"/>
    </row>
    <row r="653" spans="1:2" x14ac:dyDescent="0.2">
      <c r="A653" s="4"/>
      <c r="B653" s="4"/>
    </row>
    <row r="654" spans="1:2" x14ac:dyDescent="0.2">
      <c r="A654" s="4"/>
      <c r="B654" s="4"/>
    </row>
    <row r="655" spans="1:2" x14ac:dyDescent="0.2">
      <c r="A655" s="4"/>
      <c r="B655" s="4"/>
    </row>
    <row r="656" spans="1:2" x14ac:dyDescent="0.2">
      <c r="A656" s="4"/>
      <c r="B656" s="4"/>
    </row>
    <row r="657" spans="1:2" x14ac:dyDescent="0.2">
      <c r="A657" s="4"/>
      <c r="B657" s="4"/>
    </row>
    <row r="658" spans="1:2" x14ac:dyDescent="0.2">
      <c r="A658" s="4"/>
      <c r="B658" s="4"/>
    </row>
    <row r="659" spans="1:2" x14ac:dyDescent="0.2">
      <c r="A659" s="4"/>
      <c r="B659" s="4"/>
    </row>
    <row r="660" spans="1:2" x14ac:dyDescent="0.2">
      <c r="A660" s="4"/>
      <c r="B660" s="4"/>
    </row>
    <row r="661" spans="1:2" x14ac:dyDescent="0.2">
      <c r="A661" s="4"/>
      <c r="B661" s="4"/>
    </row>
    <row r="662" spans="1:2" x14ac:dyDescent="0.2">
      <c r="A662" s="4"/>
      <c r="B662" s="4"/>
    </row>
    <row r="663" spans="1:2" x14ac:dyDescent="0.2">
      <c r="A663" s="4"/>
      <c r="B663" s="4"/>
    </row>
    <row r="664" spans="1:2" x14ac:dyDescent="0.2">
      <c r="A664" s="4"/>
      <c r="B664" s="4"/>
    </row>
    <row r="665" spans="1:2" x14ac:dyDescent="0.2">
      <c r="A665" s="4"/>
      <c r="B665" s="4"/>
    </row>
    <row r="666" spans="1:2" x14ac:dyDescent="0.2">
      <c r="A666" s="4"/>
      <c r="B666" s="4"/>
    </row>
    <row r="667" spans="1:2" x14ac:dyDescent="0.2">
      <c r="A667" s="4"/>
      <c r="B667" s="4"/>
    </row>
    <row r="668" spans="1:2" x14ac:dyDescent="0.2">
      <c r="A668" s="4"/>
      <c r="B668" s="4"/>
    </row>
    <row r="669" spans="1:2" x14ac:dyDescent="0.2">
      <c r="A669" s="4"/>
      <c r="B669" s="4"/>
    </row>
    <row r="670" spans="1:2" x14ac:dyDescent="0.2">
      <c r="A670" s="4"/>
      <c r="B670" s="4"/>
    </row>
    <row r="671" spans="1:2" x14ac:dyDescent="0.2">
      <c r="A671" s="4"/>
      <c r="B671" s="4"/>
    </row>
    <row r="672" spans="1:2" x14ac:dyDescent="0.2">
      <c r="A672" s="4"/>
      <c r="B672" s="4"/>
    </row>
    <row r="673" spans="1:2" x14ac:dyDescent="0.2">
      <c r="A673" s="4"/>
      <c r="B673" s="4"/>
    </row>
    <row r="674" spans="1:2" x14ac:dyDescent="0.2">
      <c r="A674" s="4"/>
      <c r="B674" s="4"/>
    </row>
    <row r="675" spans="1:2" x14ac:dyDescent="0.2">
      <c r="A675" s="4"/>
      <c r="B675" s="4"/>
    </row>
    <row r="676" spans="1:2" x14ac:dyDescent="0.2">
      <c r="A676" s="4"/>
      <c r="B676" s="4"/>
    </row>
    <row r="677" spans="1:2" x14ac:dyDescent="0.2">
      <c r="A677" s="4"/>
      <c r="B677" s="4"/>
    </row>
    <row r="678" spans="1:2" x14ac:dyDescent="0.2">
      <c r="A678" s="4"/>
      <c r="B678" s="4"/>
    </row>
    <row r="679" spans="1:2" x14ac:dyDescent="0.2">
      <c r="A679" s="4"/>
      <c r="B679" s="4"/>
    </row>
    <row r="680" spans="1:2" x14ac:dyDescent="0.2">
      <c r="A680" s="4"/>
      <c r="B680" s="4"/>
    </row>
    <row r="681" spans="1:2" x14ac:dyDescent="0.2">
      <c r="A681" s="4"/>
      <c r="B681" s="4"/>
    </row>
    <row r="682" spans="1:2" x14ac:dyDescent="0.2">
      <c r="A682" s="4"/>
      <c r="B682" s="4"/>
    </row>
    <row r="683" spans="1:2" x14ac:dyDescent="0.2">
      <c r="A683" s="4"/>
      <c r="B683" s="4"/>
    </row>
    <row r="684" spans="1:2" x14ac:dyDescent="0.2">
      <c r="A684" s="4"/>
      <c r="B684" s="4"/>
    </row>
    <row r="685" spans="1:2" x14ac:dyDescent="0.2">
      <c r="A685" s="4"/>
      <c r="B685" s="4"/>
    </row>
    <row r="686" spans="1:2" x14ac:dyDescent="0.2">
      <c r="A686" s="4"/>
      <c r="B686" s="4"/>
    </row>
    <row r="687" spans="1:2" x14ac:dyDescent="0.2">
      <c r="A687" s="4"/>
      <c r="B687" s="4"/>
    </row>
    <row r="688" spans="1:2" x14ac:dyDescent="0.2">
      <c r="A688" s="4"/>
      <c r="B688" s="4"/>
    </row>
    <row r="689" spans="1:2" x14ac:dyDescent="0.2">
      <c r="A689" s="4"/>
      <c r="B689" s="4"/>
    </row>
    <row r="690" spans="1:2" x14ac:dyDescent="0.2">
      <c r="A690" s="4"/>
      <c r="B690" s="4"/>
    </row>
    <row r="691" spans="1:2" x14ac:dyDescent="0.2">
      <c r="A691" s="4"/>
      <c r="B691" s="4"/>
    </row>
    <row r="692" spans="1:2" x14ac:dyDescent="0.2">
      <c r="A692" s="4"/>
      <c r="B692" s="4"/>
    </row>
    <row r="693" spans="1:2" x14ac:dyDescent="0.2">
      <c r="A693" s="4"/>
      <c r="B693" s="4"/>
    </row>
    <row r="694" spans="1:2" x14ac:dyDescent="0.2">
      <c r="A694" s="4"/>
      <c r="B694" s="4"/>
    </row>
    <row r="695" spans="1:2" x14ac:dyDescent="0.2">
      <c r="A695" s="4"/>
      <c r="B695" s="4"/>
    </row>
    <row r="696" spans="1:2" x14ac:dyDescent="0.2">
      <c r="A696" s="4"/>
      <c r="B696" s="4"/>
    </row>
    <row r="697" spans="1:2" x14ac:dyDescent="0.2">
      <c r="A697" s="4"/>
      <c r="B697" s="4"/>
    </row>
    <row r="698" spans="1:2" x14ac:dyDescent="0.2">
      <c r="A698" s="4"/>
      <c r="B698" s="4"/>
    </row>
    <row r="699" spans="1:2" x14ac:dyDescent="0.2">
      <c r="A699" s="4"/>
      <c r="B699" s="4"/>
    </row>
    <row r="700" spans="1:2" x14ac:dyDescent="0.2">
      <c r="A700" s="4"/>
      <c r="B700" s="4"/>
    </row>
    <row r="701" spans="1:2" x14ac:dyDescent="0.2">
      <c r="A701" s="4"/>
      <c r="B701" s="4"/>
    </row>
    <row r="702" spans="1:2" x14ac:dyDescent="0.2">
      <c r="A702" s="4"/>
      <c r="B702" s="4"/>
    </row>
    <row r="703" spans="1:2" x14ac:dyDescent="0.2">
      <c r="A703" s="4"/>
      <c r="B703" s="4"/>
    </row>
    <row r="704" spans="1:2" x14ac:dyDescent="0.2">
      <c r="A704" s="4"/>
      <c r="B704" s="4"/>
    </row>
    <row r="705" spans="1:2" x14ac:dyDescent="0.2">
      <c r="A705" s="4"/>
      <c r="B705" s="4"/>
    </row>
    <row r="706" spans="1:2" x14ac:dyDescent="0.2">
      <c r="A706" s="4"/>
      <c r="B706" s="4"/>
    </row>
    <row r="707" spans="1:2" x14ac:dyDescent="0.2">
      <c r="A707" s="4"/>
      <c r="B707" s="4"/>
    </row>
    <row r="708" spans="1:2" x14ac:dyDescent="0.2">
      <c r="A708" s="4"/>
      <c r="B708" s="4"/>
    </row>
    <row r="709" spans="1:2" x14ac:dyDescent="0.2">
      <c r="A709" s="4"/>
      <c r="B709" s="4"/>
    </row>
    <row r="710" spans="1:2" x14ac:dyDescent="0.2">
      <c r="A710" s="4"/>
      <c r="B710" s="4"/>
    </row>
    <row r="711" spans="1:2" x14ac:dyDescent="0.2">
      <c r="A711" s="4"/>
      <c r="B711" s="4"/>
    </row>
    <row r="712" spans="1:2" x14ac:dyDescent="0.2">
      <c r="A712" s="4"/>
      <c r="B712" s="4"/>
    </row>
    <row r="713" spans="1:2" x14ac:dyDescent="0.2">
      <c r="A713" s="4"/>
      <c r="B713" s="4"/>
    </row>
    <row r="714" spans="1:2" x14ac:dyDescent="0.2">
      <c r="A714" s="4"/>
      <c r="B714" s="4"/>
    </row>
    <row r="715" spans="1:2" x14ac:dyDescent="0.2">
      <c r="A715" s="4"/>
      <c r="B715" s="4"/>
    </row>
    <row r="716" spans="1:2" x14ac:dyDescent="0.2">
      <c r="A716" s="4"/>
      <c r="B716" s="4"/>
    </row>
    <row r="717" spans="1:2" x14ac:dyDescent="0.2">
      <c r="A717" s="4"/>
      <c r="B717" s="4"/>
    </row>
    <row r="718" spans="1:2" x14ac:dyDescent="0.2">
      <c r="A718" s="4"/>
      <c r="B718" s="4"/>
    </row>
    <row r="719" spans="1:2" x14ac:dyDescent="0.2">
      <c r="A719" s="4"/>
      <c r="B719" s="4"/>
    </row>
    <row r="720" spans="1:2" x14ac:dyDescent="0.2">
      <c r="A720" s="4"/>
      <c r="B720" s="4"/>
    </row>
    <row r="721" spans="1:2" x14ac:dyDescent="0.2">
      <c r="A721" s="4"/>
      <c r="B721" s="4"/>
    </row>
    <row r="722" spans="1:2" x14ac:dyDescent="0.2">
      <c r="A722" s="4"/>
      <c r="B722" s="4"/>
    </row>
    <row r="723" spans="1:2" x14ac:dyDescent="0.2">
      <c r="A723" s="4"/>
      <c r="B723" s="4"/>
    </row>
    <row r="724" spans="1:2" x14ac:dyDescent="0.2">
      <c r="A724" s="4"/>
      <c r="B724" s="4"/>
    </row>
    <row r="725" spans="1:2" x14ac:dyDescent="0.2">
      <c r="A725" s="4"/>
      <c r="B725" s="4"/>
    </row>
    <row r="726" spans="1:2" x14ac:dyDescent="0.2">
      <c r="A726" s="4"/>
      <c r="B726" s="4"/>
    </row>
    <row r="727" spans="1:2" x14ac:dyDescent="0.2">
      <c r="A727" s="4"/>
      <c r="B727" s="4"/>
    </row>
    <row r="728" spans="1:2" x14ac:dyDescent="0.2">
      <c r="A728" s="4"/>
      <c r="B728" s="4"/>
    </row>
    <row r="729" spans="1:2" x14ac:dyDescent="0.2">
      <c r="A729" s="4"/>
      <c r="B729" s="4"/>
    </row>
    <row r="730" spans="1:2" x14ac:dyDescent="0.2">
      <c r="A730" s="4"/>
      <c r="B730" s="4"/>
    </row>
    <row r="731" spans="1:2" x14ac:dyDescent="0.2">
      <c r="A731" s="4"/>
      <c r="B731" s="4"/>
    </row>
    <row r="732" spans="1:2" x14ac:dyDescent="0.2">
      <c r="A732" s="4"/>
      <c r="B732" s="4"/>
    </row>
    <row r="733" spans="1:2" x14ac:dyDescent="0.2">
      <c r="A733" s="4"/>
      <c r="B733" s="4"/>
    </row>
    <row r="734" spans="1:2" x14ac:dyDescent="0.2">
      <c r="A734" s="4"/>
      <c r="B734" s="4"/>
    </row>
    <row r="735" spans="1:2" x14ac:dyDescent="0.2">
      <c r="A735" s="4"/>
      <c r="B735" s="4"/>
    </row>
    <row r="736" spans="1:2" x14ac:dyDescent="0.2">
      <c r="A736" s="4"/>
      <c r="B736" s="4"/>
    </row>
    <row r="737" spans="1:2" x14ac:dyDescent="0.2">
      <c r="A737" s="4"/>
      <c r="B737" s="4"/>
    </row>
    <row r="738" spans="1:2" x14ac:dyDescent="0.2">
      <c r="A738" s="4"/>
      <c r="B738" s="4"/>
    </row>
    <row r="739" spans="1:2" x14ac:dyDescent="0.2">
      <c r="A739" s="4"/>
      <c r="B739" s="4"/>
    </row>
    <row r="740" spans="1:2" x14ac:dyDescent="0.2">
      <c r="A740" s="4"/>
      <c r="B740" s="4"/>
    </row>
    <row r="741" spans="1:2" x14ac:dyDescent="0.2">
      <c r="A741" s="4"/>
      <c r="B741" s="4"/>
    </row>
    <row r="742" spans="1:2" x14ac:dyDescent="0.2">
      <c r="A742" s="4"/>
      <c r="B742" s="4"/>
    </row>
    <row r="743" spans="1:2" x14ac:dyDescent="0.2">
      <c r="A743" s="4"/>
      <c r="B743" s="4"/>
    </row>
    <row r="744" spans="1:2" x14ac:dyDescent="0.2">
      <c r="A744" s="4"/>
      <c r="B744" s="4"/>
    </row>
    <row r="745" spans="1:2" x14ac:dyDescent="0.2">
      <c r="A745" s="4"/>
      <c r="B745" s="4"/>
    </row>
    <row r="746" spans="1:2" x14ac:dyDescent="0.2">
      <c r="A746" s="4"/>
      <c r="B746" s="4"/>
    </row>
    <row r="747" spans="1:2" x14ac:dyDescent="0.2">
      <c r="A747" s="4"/>
      <c r="B747" s="4"/>
    </row>
    <row r="748" spans="1:2" x14ac:dyDescent="0.2">
      <c r="A748" s="4"/>
      <c r="B748" s="4"/>
    </row>
    <row r="749" spans="1:2" x14ac:dyDescent="0.2">
      <c r="A749" s="4"/>
      <c r="B749" s="4"/>
    </row>
    <row r="750" spans="1:2" x14ac:dyDescent="0.2">
      <c r="A750" s="4"/>
      <c r="B750" s="4"/>
    </row>
    <row r="751" spans="1:2" x14ac:dyDescent="0.2">
      <c r="A751" s="4"/>
      <c r="B751" s="4"/>
    </row>
    <row r="752" spans="1:2" x14ac:dyDescent="0.2">
      <c r="A752" s="4"/>
      <c r="B752" s="4"/>
    </row>
    <row r="753" spans="1:2" x14ac:dyDescent="0.2">
      <c r="A753" s="4"/>
      <c r="B753" s="4"/>
    </row>
    <row r="754" spans="1:2" x14ac:dyDescent="0.2">
      <c r="A754" s="4"/>
      <c r="B754" s="4"/>
    </row>
    <row r="755" spans="1:2" x14ac:dyDescent="0.2">
      <c r="A755" s="4"/>
      <c r="B755" s="4"/>
    </row>
    <row r="756" spans="1:2" x14ac:dyDescent="0.2">
      <c r="A756" s="4"/>
      <c r="B756" s="4"/>
    </row>
    <row r="757" spans="1:2" x14ac:dyDescent="0.2">
      <c r="A757" s="4"/>
      <c r="B757" s="4"/>
    </row>
    <row r="758" spans="1:2" x14ac:dyDescent="0.2">
      <c r="A758" s="4"/>
      <c r="B758" s="4"/>
    </row>
    <row r="759" spans="1:2" x14ac:dyDescent="0.2">
      <c r="A759" s="4"/>
      <c r="B759" s="4"/>
    </row>
    <row r="760" spans="1:2" x14ac:dyDescent="0.2">
      <c r="A760" s="4"/>
      <c r="B760" s="4"/>
    </row>
    <row r="761" spans="1:2" x14ac:dyDescent="0.2">
      <c r="A761" s="4"/>
      <c r="B761" s="4"/>
    </row>
    <row r="762" spans="1:2" x14ac:dyDescent="0.2">
      <c r="A762" s="4"/>
      <c r="B762" s="4"/>
    </row>
    <row r="763" spans="1:2" x14ac:dyDescent="0.2">
      <c r="A763" s="4"/>
      <c r="B763" s="4"/>
    </row>
    <row r="764" spans="1:2" x14ac:dyDescent="0.2">
      <c r="A764" s="4"/>
      <c r="B764" s="4"/>
    </row>
    <row r="765" spans="1:2" x14ac:dyDescent="0.2">
      <c r="A765" s="4"/>
      <c r="B765" s="4"/>
    </row>
    <row r="766" spans="1:2" x14ac:dyDescent="0.2">
      <c r="A766" s="4"/>
      <c r="B766" s="4"/>
    </row>
    <row r="767" spans="1:2" x14ac:dyDescent="0.2">
      <c r="A767" s="4"/>
      <c r="B767" s="4"/>
    </row>
    <row r="768" spans="1:2" x14ac:dyDescent="0.2">
      <c r="A768" s="4"/>
      <c r="B768" s="4"/>
    </row>
    <row r="769" spans="1:2" x14ac:dyDescent="0.2">
      <c r="A769" s="4"/>
      <c r="B769" s="4"/>
    </row>
    <row r="770" spans="1:2" x14ac:dyDescent="0.2">
      <c r="A770" s="4"/>
      <c r="B770" s="4"/>
    </row>
    <row r="771" spans="1:2" x14ac:dyDescent="0.2">
      <c r="A771" s="4"/>
      <c r="B771" s="4"/>
    </row>
    <row r="772" spans="1:2" x14ac:dyDescent="0.2">
      <c r="A772" s="4"/>
      <c r="B772" s="4"/>
    </row>
    <row r="773" spans="1:2" x14ac:dyDescent="0.2">
      <c r="A773" s="4"/>
      <c r="B773" s="4"/>
    </row>
    <row r="774" spans="1:2" x14ac:dyDescent="0.2">
      <c r="A774" s="4"/>
      <c r="B774" s="4"/>
    </row>
    <row r="775" spans="1:2" x14ac:dyDescent="0.2">
      <c r="A775" s="4"/>
      <c r="B775" s="4"/>
    </row>
    <row r="776" spans="1:2" x14ac:dyDescent="0.2">
      <c r="A776" s="4"/>
      <c r="B776" s="4"/>
    </row>
    <row r="777" spans="1:2" x14ac:dyDescent="0.2">
      <c r="A777" s="4"/>
      <c r="B777" s="4"/>
    </row>
    <row r="778" spans="1:2" x14ac:dyDescent="0.2">
      <c r="A778" s="4"/>
      <c r="B778" s="4"/>
    </row>
    <row r="779" spans="1:2" x14ac:dyDescent="0.2">
      <c r="A779" s="4"/>
      <c r="B779" s="4"/>
    </row>
    <row r="780" spans="1:2" x14ac:dyDescent="0.2">
      <c r="A780" s="4"/>
      <c r="B780" s="4"/>
    </row>
    <row r="781" spans="1:2" x14ac:dyDescent="0.2">
      <c r="A781" s="4"/>
      <c r="B781" s="4"/>
    </row>
    <row r="782" spans="1:2" x14ac:dyDescent="0.2">
      <c r="A782" s="4"/>
      <c r="B782" s="4"/>
    </row>
    <row r="783" spans="1:2" x14ac:dyDescent="0.2">
      <c r="A783" s="4"/>
      <c r="B783" s="4"/>
    </row>
    <row r="784" spans="1:2" x14ac:dyDescent="0.2">
      <c r="A784" s="4"/>
      <c r="B784" s="4"/>
    </row>
    <row r="785" spans="1:2" x14ac:dyDescent="0.2">
      <c r="A785" s="4"/>
      <c r="B785" s="4"/>
    </row>
    <row r="786" spans="1:2" x14ac:dyDescent="0.2">
      <c r="A786" s="4"/>
      <c r="B786" s="4"/>
    </row>
    <row r="787" spans="1:2" x14ac:dyDescent="0.2">
      <c r="A787" s="4"/>
      <c r="B787" s="4"/>
    </row>
    <row r="788" spans="1:2" x14ac:dyDescent="0.2">
      <c r="A788" s="4"/>
      <c r="B788" s="4"/>
    </row>
    <row r="789" spans="1:2" x14ac:dyDescent="0.2">
      <c r="A789" s="4"/>
      <c r="B789" s="4"/>
    </row>
    <row r="790" spans="1:2" x14ac:dyDescent="0.2">
      <c r="A790" s="4"/>
      <c r="B790" s="4"/>
    </row>
    <row r="791" spans="1:2" x14ac:dyDescent="0.2">
      <c r="A791" s="4"/>
      <c r="B791" s="4"/>
    </row>
    <row r="792" spans="1:2" x14ac:dyDescent="0.2">
      <c r="A792" s="4"/>
      <c r="B792" s="4"/>
    </row>
    <row r="793" spans="1:2" x14ac:dyDescent="0.2">
      <c r="A793" s="4"/>
      <c r="B793" s="4"/>
    </row>
    <row r="794" spans="1:2" x14ac:dyDescent="0.2">
      <c r="A794" s="4"/>
      <c r="B794" s="4"/>
    </row>
    <row r="795" spans="1:2" x14ac:dyDescent="0.2">
      <c r="A795" s="4"/>
      <c r="B795" s="4"/>
    </row>
    <row r="796" spans="1:2" x14ac:dyDescent="0.2">
      <c r="A796" s="4"/>
      <c r="B796" s="4"/>
    </row>
    <row r="797" spans="1:2" x14ac:dyDescent="0.2">
      <c r="A797" s="4"/>
      <c r="B797" s="4"/>
    </row>
    <row r="798" spans="1:2" x14ac:dyDescent="0.2">
      <c r="A798" s="4"/>
      <c r="B798" s="4"/>
    </row>
    <row r="799" spans="1:2" x14ac:dyDescent="0.2">
      <c r="A799" s="4"/>
      <c r="B799" s="4"/>
    </row>
    <row r="800" spans="1:2" x14ac:dyDescent="0.2">
      <c r="A800" s="4"/>
      <c r="B800" s="4"/>
    </row>
    <row r="801" spans="1:2" x14ac:dyDescent="0.2">
      <c r="A801" s="4"/>
      <c r="B801" s="4"/>
    </row>
    <row r="802" spans="1:2" x14ac:dyDescent="0.2">
      <c r="A802" s="4"/>
      <c r="B802" s="4"/>
    </row>
    <row r="803" spans="1:2" x14ac:dyDescent="0.2">
      <c r="A803" s="4"/>
      <c r="B803" s="4"/>
    </row>
    <row r="804" spans="1:2" x14ac:dyDescent="0.2">
      <c r="A804" s="4"/>
      <c r="B804" s="4"/>
    </row>
    <row r="805" spans="1:2" x14ac:dyDescent="0.2">
      <c r="A805" s="4"/>
      <c r="B805" s="4"/>
    </row>
    <row r="806" spans="1:2" x14ac:dyDescent="0.2">
      <c r="A806" s="4"/>
      <c r="B806" s="4"/>
    </row>
    <row r="807" spans="1:2" x14ac:dyDescent="0.2">
      <c r="A807" s="4"/>
      <c r="B807" s="4"/>
    </row>
    <row r="808" spans="1:2" x14ac:dyDescent="0.2">
      <c r="A808" s="4"/>
      <c r="B808" s="4"/>
    </row>
    <row r="809" spans="1:2" x14ac:dyDescent="0.2">
      <c r="A809" s="4"/>
      <c r="B809" s="4"/>
    </row>
    <row r="810" spans="1:2" x14ac:dyDescent="0.2">
      <c r="A810" s="4"/>
      <c r="B810" s="4"/>
    </row>
    <row r="811" spans="1:2" x14ac:dyDescent="0.2">
      <c r="A811" s="4"/>
      <c r="B811" s="4"/>
    </row>
    <row r="812" spans="1:2" x14ac:dyDescent="0.2">
      <c r="A812" s="4"/>
      <c r="B812" s="4"/>
    </row>
    <row r="813" spans="1:2" x14ac:dyDescent="0.2">
      <c r="A813" s="4"/>
      <c r="B813" s="4"/>
    </row>
    <row r="814" spans="1:2" x14ac:dyDescent="0.2">
      <c r="A814" s="4"/>
      <c r="B814" s="4"/>
    </row>
    <row r="815" spans="1:2" x14ac:dyDescent="0.2">
      <c r="A815" s="4"/>
      <c r="B815" s="4"/>
    </row>
    <row r="816" spans="1:2" x14ac:dyDescent="0.2">
      <c r="A816" s="4"/>
      <c r="B816" s="4"/>
    </row>
    <row r="817" spans="1:2" x14ac:dyDescent="0.2">
      <c r="A817" s="4"/>
      <c r="B817" s="4"/>
    </row>
    <row r="818" spans="1:2" x14ac:dyDescent="0.2">
      <c r="A818" s="4"/>
      <c r="B818" s="4"/>
    </row>
    <row r="819" spans="1:2" x14ac:dyDescent="0.2">
      <c r="A819" s="4"/>
      <c r="B819" s="4"/>
    </row>
    <row r="820" spans="1:2" x14ac:dyDescent="0.2">
      <c r="A820" s="4"/>
      <c r="B820" s="4"/>
    </row>
    <row r="821" spans="1:2" x14ac:dyDescent="0.2">
      <c r="A821" s="4"/>
      <c r="B821" s="4"/>
    </row>
    <row r="822" spans="1:2" x14ac:dyDescent="0.2">
      <c r="A822" s="4"/>
      <c r="B822" s="4"/>
    </row>
    <row r="823" spans="1:2" x14ac:dyDescent="0.2">
      <c r="A823" s="4"/>
      <c r="B823" s="4"/>
    </row>
    <row r="824" spans="1:2" x14ac:dyDescent="0.2">
      <c r="A824" s="4"/>
      <c r="B824" s="4"/>
    </row>
    <row r="825" spans="1:2" x14ac:dyDescent="0.2">
      <c r="A825" s="4"/>
      <c r="B825" s="4"/>
    </row>
    <row r="826" spans="1:2" x14ac:dyDescent="0.2">
      <c r="A826" s="4"/>
      <c r="B826" s="4"/>
    </row>
    <row r="827" spans="1:2" x14ac:dyDescent="0.2">
      <c r="A827" s="4"/>
      <c r="B827" s="4"/>
    </row>
    <row r="828" spans="1:2" x14ac:dyDescent="0.2">
      <c r="A828" s="4"/>
      <c r="B828" s="4"/>
    </row>
    <row r="829" spans="1:2" x14ac:dyDescent="0.2">
      <c r="A829" s="4"/>
      <c r="B829" s="4"/>
    </row>
    <row r="830" spans="1:2" x14ac:dyDescent="0.2">
      <c r="A830" s="4"/>
      <c r="B830" s="4"/>
    </row>
    <row r="831" spans="1:2" x14ac:dyDescent="0.2">
      <c r="A831" s="4"/>
      <c r="B831" s="4"/>
    </row>
    <row r="832" spans="1:2" x14ac:dyDescent="0.2">
      <c r="A832" s="4"/>
      <c r="B832" s="4"/>
    </row>
    <row r="833" spans="1:2" x14ac:dyDescent="0.2">
      <c r="A833" s="4"/>
      <c r="B833" s="4"/>
    </row>
    <row r="834" spans="1:2" x14ac:dyDescent="0.2">
      <c r="A834" s="4"/>
      <c r="B834" s="4"/>
    </row>
    <row r="835" spans="1:2" x14ac:dyDescent="0.2">
      <c r="A835" s="4"/>
      <c r="B835" s="4"/>
    </row>
    <row r="836" spans="1:2" x14ac:dyDescent="0.2">
      <c r="A836" s="4"/>
      <c r="B836" s="4"/>
    </row>
    <row r="837" spans="1:2" x14ac:dyDescent="0.2">
      <c r="A837" s="4"/>
      <c r="B837" s="4"/>
    </row>
    <row r="838" spans="1:2" x14ac:dyDescent="0.2">
      <c r="A838" s="4"/>
      <c r="B838" s="4"/>
    </row>
    <row r="839" spans="1:2" x14ac:dyDescent="0.2">
      <c r="A839" s="4"/>
      <c r="B839" s="4"/>
    </row>
    <row r="840" spans="1:2" x14ac:dyDescent="0.2">
      <c r="A840" s="4"/>
      <c r="B840" s="4"/>
    </row>
    <row r="841" spans="1:2" x14ac:dyDescent="0.2">
      <c r="A841" s="4"/>
      <c r="B841" s="4"/>
    </row>
    <row r="842" spans="1:2" x14ac:dyDescent="0.2">
      <c r="A842" s="4"/>
      <c r="B842" s="4"/>
    </row>
    <row r="843" spans="1:2" x14ac:dyDescent="0.2">
      <c r="A843" s="4"/>
      <c r="B843" s="4"/>
    </row>
    <row r="844" spans="1:2" x14ac:dyDescent="0.2">
      <c r="A844" s="4"/>
      <c r="B844" s="4"/>
    </row>
    <row r="845" spans="1:2" x14ac:dyDescent="0.2">
      <c r="A845" s="4"/>
      <c r="B845" s="4"/>
    </row>
    <row r="846" spans="1:2" x14ac:dyDescent="0.2">
      <c r="A846" s="4"/>
      <c r="B846" s="4"/>
    </row>
    <row r="847" spans="1:2" x14ac:dyDescent="0.2">
      <c r="A847" s="4"/>
      <c r="B847" s="4"/>
    </row>
    <row r="848" spans="1:2" x14ac:dyDescent="0.2">
      <c r="A848" s="4"/>
      <c r="B848" s="4"/>
    </row>
    <row r="849" spans="1:2" x14ac:dyDescent="0.2">
      <c r="A849" s="4"/>
      <c r="B849" s="4"/>
    </row>
    <row r="850" spans="1:2" x14ac:dyDescent="0.2">
      <c r="A850" s="4"/>
      <c r="B850" s="4"/>
    </row>
    <row r="851" spans="1:2" x14ac:dyDescent="0.2">
      <c r="A851" s="4"/>
      <c r="B851" s="4"/>
    </row>
    <row r="852" spans="1:2" x14ac:dyDescent="0.2">
      <c r="A852" s="4"/>
      <c r="B852" s="4"/>
    </row>
    <row r="853" spans="1:2" x14ac:dyDescent="0.2">
      <c r="A853" s="4"/>
      <c r="B853" s="4"/>
    </row>
    <row r="854" spans="1:2" x14ac:dyDescent="0.2">
      <c r="A854" s="4"/>
      <c r="B854" s="4"/>
    </row>
    <row r="855" spans="1:2" x14ac:dyDescent="0.2">
      <c r="A855" s="4"/>
      <c r="B855" s="4"/>
    </row>
    <row r="856" spans="1:2" x14ac:dyDescent="0.2">
      <c r="A856" s="4"/>
      <c r="B856" s="4"/>
    </row>
    <row r="857" spans="1:2" x14ac:dyDescent="0.2">
      <c r="A857" s="4"/>
      <c r="B857" s="4"/>
    </row>
    <row r="858" spans="1:2" x14ac:dyDescent="0.2">
      <c r="A858" s="4"/>
      <c r="B858" s="4"/>
    </row>
    <row r="859" spans="1:2" x14ac:dyDescent="0.2">
      <c r="A859" s="4"/>
      <c r="B859" s="4"/>
    </row>
    <row r="860" spans="1:2" x14ac:dyDescent="0.2">
      <c r="A860" s="4"/>
      <c r="B860" s="4"/>
    </row>
    <row r="861" spans="1:2" x14ac:dyDescent="0.2">
      <c r="A861" s="4"/>
      <c r="B861" s="4"/>
    </row>
    <row r="862" spans="1:2" x14ac:dyDescent="0.2">
      <c r="A862" s="4"/>
      <c r="B862" s="4"/>
    </row>
    <row r="863" spans="1:2" x14ac:dyDescent="0.2">
      <c r="A863" s="4"/>
      <c r="B863" s="4"/>
    </row>
    <row r="864" spans="1:2" x14ac:dyDescent="0.2">
      <c r="A864" s="4"/>
      <c r="B864" s="4"/>
    </row>
    <row r="865" spans="1:2" x14ac:dyDescent="0.2">
      <c r="A865" s="4"/>
      <c r="B865" s="4"/>
    </row>
    <row r="866" spans="1:2" x14ac:dyDescent="0.2">
      <c r="A866" s="4"/>
      <c r="B866" s="4"/>
    </row>
    <row r="867" spans="1:2" x14ac:dyDescent="0.2">
      <c r="A867" s="4"/>
      <c r="B867" s="4"/>
    </row>
    <row r="868" spans="1:2" x14ac:dyDescent="0.2">
      <c r="A868" s="4"/>
      <c r="B868" s="4"/>
    </row>
    <row r="869" spans="1:2" x14ac:dyDescent="0.2">
      <c r="A869" s="4"/>
      <c r="B869" s="4"/>
    </row>
    <row r="870" spans="1:2" x14ac:dyDescent="0.2">
      <c r="A870" s="4"/>
      <c r="B870" s="4"/>
    </row>
    <row r="871" spans="1:2" x14ac:dyDescent="0.2">
      <c r="A871" s="4"/>
      <c r="B871" s="4"/>
    </row>
    <row r="872" spans="1:2" x14ac:dyDescent="0.2">
      <c r="A872" s="4"/>
      <c r="B872" s="4"/>
    </row>
    <row r="873" spans="1:2" x14ac:dyDescent="0.2">
      <c r="A873" s="4"/>
      <c r="B873" s="4"/>
    </row>
    <row r="874" spans="1:2" x14ac:dyDescent="0.2">
      <c r="A874" s="4"/>
      <c r="B874" s="4"/>
    </row>
    <row r="875" spans="1:2" x14ac:dyDescent="0.2">
      <c r="A875" s="4"/>
      <c r="B875" s="4"/>
    </row>
    <row r="876" spans="1:2" x14ac:dyDescent="0.2">
      <c r="A876" s="4"/>
      <c r="B876" s="4"/>
    </row>
    <row r="877" spans="1:2" x14ac:dyDescent="0.2">
      <c r="A877" s="4"/>
      <c r="B877" s="4"/>
    </row>
    <row r="878" spans="1:2" x14ac:dyDescent="0.2">
      <c r="A878" s="4"/>
      <c r="B878" s="4"/>
    </row>
    <row r="879" spans="1:2" x14ac:dyDescent="0.2">
      <c r="A879" s="4"/>
      <c r="B879" s="4"/>
    </row>
    <row r="880" spans="1:2" x14ac:dyDescent="0.2">
      <c r="A880" s="4"/>
      <c r="B880" s="4"/>
    </row>
    <row r="881" spans="1:2" x14ac:dyDescent="0.2">
      <c r="A881" s="4"/>
      <c r="B881" s="4"/>
    </row>
    <row r="882" spans="1:2" x14ac:dyDescent="0.2">
      <c r="A882" s="4"/>
      <c r="B882" s="4"/>
    </row>
    <row r="883" spans="1:2" x14ac:dyDescent="0.2">
      <c r="A883" s="4"/>
      <c r="B883" s="4"/>
    </row>
    <row r="884" spans="1:2" x14ac:dyDescent="0.2">
      <c r="A884" s="4"/>
      <c r="B884" s="4"/>
    </row>
    <row r="885" spans="1:2" x14ac:dyDescent="0.2">
      <c r="A885" s="4"/>
      <c r="B885" s="4"/>
    </row>
    <row r="886" spans="1:2" x14ac:dyDescent="0.2">
      <c r="A886" s="4"/>
      <c r="B886" s="4"/>
    </row>
    <row r="887" spans="1:2" x14ac:dyDescent="0.2">
      <c r="A887" s="4"/>
      <c r="B887" s="4"/>
    </row>
    <row r="888" spans="1:2" x14ac:dyDescent="0.2">
      <c r="A888" s="4"/>
      <c r="B888" s="4"/>
    </row>
    <row r="889" spans="1:2" x14ac:dyDescent="0.2">
      <c r="A889" s="4"/>
      <c r="B889" s="4"/>
    </row>
    <row r="890" spans="1:2" x14ac:dyDescent="0.2">
      <c r="A890" s="4"/>
      <c r="B890" s="4"/>
    </row>
    <row r="891" spans="1:2" x14ac:dyDescent="0.2">
      <c r="A891" s="4"/>
      <c r="B891" s="4"/>
    </row>
    <row r="892" spans="1:2" x14ac:dyDescent="0.2">
      <c r="A892" s="4"/>
      <c r="B892" s="4"/>
    </row>
    <row r="893" spans="1:2" x14ac:dyDescent="0.2">
      <c r="A893" s="4"/>
      <c r="B893" s="4"/>
    </row>
    <row r="894" spans="1:2" x14ac:dyDescent="0.2">
      <c r="A894" s="4"/>
      <c r="B894" s="4"/>
    </row>
    <row r="895" spans="1:2" x14ac:dyDescent="0.2">
      <c r="A895" s="4"/>
      <c r="B895" s="4"/>
    </row>
    <row r="896" spans="1:2" x14ac:dyDescent="0.2">
      <c r="A896" s="4"/>
      <c r="B896" s="4"/>
    </row>
    <row r="897" spans="1:2" x14ac:dyDescent="0.2">
      <c r="A897" s="4"/>
      <c r="B897" s="4"/>
    </row>
    <row r="898" spans="1:2" x14ac:dyDescent="0.2">
      <c r="A898" s="4"/>
      <c r="B898" s="4"/>
    </row>
    <row r="899" spans="1:2" x14ac:dyDescent="0.2">
      <c r="A899" s="4"/>
      <c r="B899" s="4"/>
    </row>
    <row r="900" spans="1:2" x14ac:dyDescent="0.2">
      <c r="A900" s="4"/>
      <c r="B900" s="4"/>
    </row>
    <row r="901" spans="1:2" x14ac:dyDescent="0.2">
      <c r="A901" s="4"/>
      <c r="B901" s="4"/>
    </row>
    <row r="902" spans="1:2" x14ac:dyDescent="0.2">
      <c r="A902" s="4"/>
      <c r="B902" s="4"/>
    </row>
    <row r="903" spans="1:2" x14ac:dyDescent="0.2">
      <c r="A903" s="4"/>
      <c r="B903" s="4"/>
    </row>
    <row r="904" spans="1:2" x14ac:dyDescent="0.2">
      <c r="A904" s="4"/>
      <c r="B904" s="4"/>
    </row>
    <row r="905" spans="1:2" x14ac:dyDescent="0.2">
      <c r="A905" s="4"/>
      <c r="B905" s="4"/>
    </row>
    <row r="906" spans="1:2" x14ac:dyDescent="0.2">
      <c r="A906" s="4"/>
      <c r="B906" s="4"/>
    </row>
    <row r="907" spans="1:2" x14ac:dyDescent="0.2">
      <c r="A907" s="4"/>
      <c r="B907" s="4"/>
    </row>
    <row r="908" spans="1:2" x14ac:dyDescent="0.2">
      <c r="A908" s="4"/>
      <c r="B908" s="4"/>
    </row>
    <row r="909" spans="1:2" x14ac:dyDescent="0.2">
      <c r="A909" s="4"/>
      <c r="B909" s="4"/>
    </row>
    <row r="910" spans="1:2" x14ac:dyDescent="0.2">
      <c r="A910" s="4"/>
      <c r="B910" s="4"/>
    </row>
    <row r="911" spans="1:2" x14ac:dyDescent="0.2">
      <c r="A911" s="4"/>
      <c r="B911" s="4"/>
    </row>
    <row r="912" spans="1:2" x14ac:dyDescent="0.2">
      <c r="A912" s="4"/>
      <c r="B912" s="4"/>
    </row>
    <row r="913" spans="1:2" x14ac:dyDescent="0.2">
      <c r="A913" s="4"/>
      <c r="B913" s="4"/>
    </row>
    <row r="914" spans="1:2" x14ac:dyDescent="0.2">
      <c r="A914" s="4"/>
      <c r="B914" s="4"/>
    </row>
    <row r="915" spans="1:2" x14ac:dyDescent="0.2">
      <c r="A915" s="4"/>
      <c r="B915" s="4"/>
    </row>
    <row r="916" spans="1:2" x14ac:dyDescent="0.2">
      <c r="A916" s="4"/>
      <c r="B916" s="4"/>
    </row>
    <row r="917" spans="1:2" x14ac:dyDescent="0.2">
      <c r="A917" s="4"/>
      <c r="B917" s="4"/>
    </row>
    <row r="918" spans="1:2" x14ac:dyDescent="0.2">
      <c r="A918" s="4"/>
      <c r="B918" s="4"/>
    </row>
    <row r="919" spans="1:2" x14ac:dyDescent="0.2">
      <c r="A919" s="4"/>
      <c r="B919" s="4"/>
    </row>
    <row r="920" spans="1:2" x14ac:dyDescent="0.2">
      <c r="A920" s="4"/>
      <c r="B920" s="4"/>
    </row>
    <row r="921" spans="1:2" x14ac:dyDescent="0.2">
      <c r="A921" s="4"/>
      <c r="B921" s="4"/>
    </row>
    <row r="922" spans="1:2" x14ac:dyDescent="0.2">
      <c r="A922" s="4"/>
      <c r="B922" s="4"/>
    </row>
    <row r="923" spans="1:2" x14ac:dyDescent="0.2">
      <c r="A923" s="4"/>
      <c r="B923" s="4"/>
    </row>
    <row r="924" spans="1:2" x14ac:dyDescent="0.2">
      <c r="A924" s="4"/>
      <c r="B924" s="4"/>
    </row>
    <row r="925" spans="1:2" x14ac:dyDescent="0.2">
      <c r="A925" s="4"/>
      <c r="B925" s="4"/>
    </row>
    <row r="926" spans="1:2" x14ac:dyDescent="0.2">
      <c r="A926" s="4"/>
      <c r="B926" s="4"/>
    </row>
    <row r="927" spans="1:2" x14ac:dyDescent="0.2">
      <c r="A927" s="4"/>
      <c r="B927" s="4"/>
    </row>
    <row r="928" spans="1:2" x14ac:dyDescent="0.2">
      <c r="A928" s="4"/>
      <c r="B928" s="4"/>
    </row>
    <row r="929" spans="1:2" x14ac:dyDescent="0.2">
      <c r="A929" s="4"/>
      <c r="B929" s="4"/>
    </row>
    <row r="930" spans="1:2" x14ac:dyDescent="0.2">
      <c r="A930" s="4"/>
      <c r="B930" s="4"/>
    </row>
    <row r="931" spans="1:2" x14ac:dyDescent="0.2">
      <c r="A931" s="4"/>
      <c r="B931" s="4"/>
    </row>
    <row r="932" spans="1:2" x14ac:dyDescent="0.2">
      <c r="A932" s="4"/>
      <c r="B932" s="4"/>
    </row>
    <row r="933" spans="1:2" x14ac:dyDescent="0.2">
      <c r="A933" s="4"/>
      <c r="B933" s="4"/>
    </row>
    <row r="934" spans="1:2" x14ac:dyDescent="0.2">
      <c r="A934" s="4"/>
      <c r="B934" s="4"/>
    </row>
    <row r="935" spans="1:2" x14ac:dyDescent="0.2">
      <c r="A935" s="4"/>
      <c r="B935" s="4"/>
    </row>
    <row r="936" spans="1:2" x14ac:dyDescent="0.2">
      <c r="A936" s="4"/>
      <c r="B936" s="4"/>
    </row>
    <row r="937" spans="1:2" x14ac:dyDescent="0.2">
      <c r="A937" s="4"/>
      <c r="B937" s="4"/>
    </row>
    <row r="938" spans="1:2" x14ac:dyDescent="0.2">
      <c r="A938" s="4"/>
      <c r="B938" s="4"/>
    </row>
    <row r="939" spans="1:2" x14ac:dyDescent="0.2">
      <c r="A939" s="4"/>
      <c r="B939" s="4"/>
    </row>
    <row r="940" spans="1:2" x14ac:dyDescent="0.2">
      <c r="A940" s="4"/>
      <c r="B940" s="4"/>
    </row>
    <row r="941" spans="1:2" x14ac:dyDescent="0.2">
      <c r="A941" s="4"/>
      <c r="B941" s="4"/>
    </row>
    <row r="942" spans="1:2" x14ac:dyDescent="0.2">
      <c r="A942" s="4"/>
      <c r="B942" s="4"/>
    </row>
    <row r="943" spans="1:2" x14ac:dyDescent="0.2">
      <c r="A943" s="4"/>
      <c r="B943" s="4"/>
    </row>
    <row r="944" spans="1:2" x14ac:dyDescent="0.2">
      <c r="A944" s="4"/>
      <c r="B944" s="4"/>
    </row>
    <row r="945" spans="1:2" x14ac:dyDescent="0.2">
      <c r="A945" s="4"/>
      <c r="B945" s="4"/>
    </row>
    <row r="946" spans="1:2" x14ac:dyDescent="0.2">
      <c r="A946" s="4"/>
      <c r="B946" s="4"/>
    </row>
    <row r="947" spans="1:2" x14ac:dyDescent="0.2">
      <c r="A947" s="4"/>
      <c r="B947" s="4"/>
    </row>
    <row r="948" spans="1:2" x14ac:dyDescent="0.2">
      <c r="A948" s="4"/>
      <c r="B948" s="4"/>
    </row>
    <row r="949" spans="1:2" x14ac:dyDescent="0.2">
      <c r="A949" s="4"/>
      <c r="B949" s="4"/>
    </row>
    <row r="950" spans="1:2" x14ac:dyDescent="0.2">
      <c r="A950" s="4"/>
      <c r="B950" s="4"/>
    </row>
    <row r="951" spans="1:2" x14ac:dyDescent="0.2">
      <c r="A951" s="4"/>
      <c r="B951" s="4"/>
    </row>
    <row r="952" spans="1:2" x14ac:dyDescent="0.2">
      <c r="A952" s="4"/>
      <c r="B952" s="4"/>
    </row>
    <row r="953" spans="1:2" x14ac:dyDescent="0.2">
      <c r="A953" s="4"/>
      <c r="B953" s="4"/>
    </row>
    <row r="954" spans="1:2" x14ac:dyDescent="0.2">
      <c r="A954" s="4"/>
      <c r="B954" s="4"/>
    </row>
    <row r="955" spans="1:2" x14ac:dyDescent="0.2">
      <c r="A955" s="4"/>
      <c r="B955" s="4"/>
    </row>
    <row r="956" spans="1:2" x14ac:dyDescent="0.2">
      <c r="A956" s="4"/>
      <c r="B956" s="4"/>
    </row>
    <row r="957" spans="1:2" x14ac:dyDescent="0.2">
      <c r="A957" s="4"/>
      <c r="B957" s="4"/>
    </row>
    <row r="958" spans="1:2" x14ac:dyDescent="0.2">
      <c r="A958" s="4"/>
      <c r="B958" s="4"/>
    </row>
    <row r="959" spans="1:2" x14ac:dyDescent="0.2">
      <c r="A959" s="4"/>
      <c r="B959" s="4"/>
    </row>
    <row r="960" spans="1:2" x14ac:dyDescent="0.2">
      <c r="A960" s="4"/>
      <c r="B960" s="4"/>
    </row>
    <row r="961" spans="1:2" x14ac:dyDescent="0.2">
      <c r="A961" s="4"/>
      <c r="B961" s="4"/>
    </row>
    <row r="962" spans="1:2" x14ac:dyDescent="0.2">
      <c r="A962" s="4"/>
      <c r="B962" s="4"/>
    </row>
    <row r="963" spans="1:2" x14ac:dyDescent="0.2">
      <c r="A963" s="4"/>
      <c r="B963" s="4"/>
    </row>
    <row r="964" spans="1:2" x14ac:dyDescent="0.2">
      <c r="A964" s="4"/>
      <c r="B964" s="4"/>
    </row>
    <row r="965" spans="1:2" x14ac:dyDescent="0.2">
      <c r="A965" s="4"/>
      <c r="B965" s="4"/>
    </row>
    <row r="966" spans="1:2" x14ac:dyDescent="0.2">
      <c r="A966" s="4"/>
      <c r="B966" s="4"/>
    </row>
    <row r="967" spans="1:2" x14ac:dyDescent="0.2">
      <c r="A967" s="4"/>
      <c r="B967" s="4"/>
    </row>
    <row r="968" spans="1:2" x14ac:dyDescent="0.2">
      <c r="A968" s="4"/>
      <c r="B968" s="4"/>
    </row>
    <row r="969" spans="1:2" x14ac:dyDescent="0.2">
      <c r="A969" s="4"/>
      <c r="B969" s="4"/>
    </row>
    <row r="970" spans="1:2" x14ac:dyDescent="0.2">
      <c r="A970" s="4"/>
      <c r="B970" s="4"/>
    </row>
    <row r="971" spans="1:2" x14ac:dyDescent="0.2">
      <c r="A971" s="4"/>
      <c r="B971" s="4"/>
    </row>
    <row r="972" spans="1:2" x14ac:dyDescent="0.2">
      <c r="A972" s="4"/>
      <c r="B972" s="4"/>
    </row>
    <row r="973" spans="1:2" x14ac:dyDescent="0.2">
      <c r="A973" s="4"/>
      <c r="B973" s="4"/>
    </row>
    <row r="974" spans="1:2" x14ac:dyDescent="0.2">
      <c r="A974" s="4"/>
      <c r="B974" s="4"/>
    </row>
    <row r="975" spans="1:2" x14ac:dyDescent="0.2">
      <c r="A975" s="4"/>
      <c r="B975" s="4"/>
    </row>
    <row r="976" spans="1:2" x14ac:dyDescent="0.2">
      <c r="A976" s="4"/>
      <c r="B976" s="4"/>
    </row>
    <row r="977" spans="1:2" x14ac:dyDescent="0.2">
      <c r="A977" s="4"/>
      <c r="B977" s="4"/>
    </row>
    <row r="978" spans="1:2" x14ac:dyDescent="0.2">
      <c r="A978" s="4"/>
      <c r="B978" s="4"/>
    </row>
    <row r="979" spans="1:2" x14ac:dyDescent="0.2">
      <c r="A979" s="4"/>
      <c r="B979" s="4"/>
    </row>
    <row r="980" spans="1:2" x14ac:dyDescent="0.2">
      <c r="A980" s="4"/>
      <c r="B980" s="4"/>
    </row>
    <row r="981" spans="1:2" x14ac:dyDescent="0.2">
      <c r="A981" s="4"/>
      <c r="B981" s="4"/>
    </row>
    <row r="982" spans="1:2" x14ac:dyDescent="0.2">
      <c r="A982" s="4"/>
      <c r="B982" s="4"/>
    </row>
    <row r="983" spans="1:2" x14ac:dyDescent="0.2">
      <c r="A983" s="4"/>
      <c r="B983" s="4"/>
    </row>
    <row r="984" spans="1:2" x14ac:dyDescent="0.2">
      <c r="A984" s="4"/>
      <c r="B984" s="4"/>
    </row>
    <row r="985" spans="1:2" x14ac:dyDescent="0.2">
      <c r="A985" s="4"/>
      <c r="B985" s="4"/>
    </row>
    <row r="986" spans="1:2" x14ac:dyDescent="0.2">
      <c r="A986" s="4"/>
      <c r="B986" s="4"/>
    </row>
    <row r="987" spans="1:2" x14ac:dyDescent="0.2">
      <c r="A987" s="4"/>
      <c r="B987" s="4"/>
    </row>
    <row r="988" spans="1:2" x14ac:dyDescent="0.2">
      <c r="A988" s="4"/>
      <c r="B988" s="4"/>
    </row>
    <row r="989" spans="1:2" x14ac:dyDescent="0.2">
      <c r="A989" s="4"/>
      <c r="B989" s="4"/>
    </row>
    <row r="990" spans="1:2" x14ac:dyDescent="0.2">
      <c r="A990" s="4"/>
      <c r="B990" s="4"/>
    </row>
    <row r="991" spans="1:2" x14ac:dyDescent="0.2">
      <c r="A991" s="4"/>
      <c r="B991" s="4"/>
    </row>
    <row r="992" spans="1:2" x14ac:dyDescent="0.2">
      <c r="A992" s="4"/>
      <c r="B992" s="4"/>
    </row>
    <row r="993" spans="1:2" x14ac:dyDescent="0.2">
      <c r="A993" s="4"/>
      <c r="B993" s="4"/>
    </row>
    <row r="994" spans="1:2" x14ac:dyDescent="0.2">
      <c r="A994" s="4"/>
      <c r="B994" s="4"/>
    </row>
    <row r="995" spans="1:2" x14ac:dyDescent="0.2">
      <c r="A995" s="4"/>
      <c r="B995" s="4"/>
    </row>
    <row r="996" spans="1:2" x14ac:dyDescent="0.2">
      <c r="A996" s="4"/>
      <c r="B996" s="4"/>
    </row>
    <row r="997" spans="1:2" x14ac:dyDescent="0.2">
      <c r="A997" s="4"/>
      <c r="B997" s="4"/>
    </row>
    <row r="998" spans="1:2" x14ac:dyDescent="0.2">
      <c r="A998" s="4"/>
      <c r="B998" s="4"/>
    </row>
    <row r="999" spans="1:2" x14ac:dyDescent="0.2">
      <c r="A999" s="4"/>
      <c r="B999" s="4"/>
    </row>
    <row r="1000" spans="1:2" x14ac:dyDescent="0.2">
      <c r="A1000" s="4"/>
      <c r="B1000" s="4"/>
    </row>
    <row r="1001" spans="1:2" x14ac:dyDescent="0.2">
      <c r="A1001" s="4"/>
      <c r="B1001" s="4"/>
    </row>
    <row r="1002" spans="1:2" x14ac:dyDescent="0.2">
      <c r="A1002" s="4"/>
      <c r="B1002" s="4"/>
    </row>
    <row r="1003" spans="1:2" x14ac:dyDescent="0.2">
      <c r="A1003" s="4"/>
      <c r="B1003" s="4"/>
    </row>
    <row r="1004" spans="1:2" x14ac:dyDescent="0.2">
      <c r="A1004" s="4"/>
      <c r="B1004" s="4"/>
    </row>
    <row r="1005" spans="1:2" x14ac:dyDescent="0.2">
      <c r="A1005" s="4"/>
      <c r="B1005" s="4"/>
    </row>
    <row r="1006" spans="1:2" x14ac:dyDescent="0.2">
      <c r="A1006" s="4"/>
      <c r="B1006" s="4"/>
    </row>
    <row r="1007" spans="1:2" x14ac:dyDescent="0.2">
      <c r="A1007" s="4"/>
      <c r="B1007" s="4"/>
    </row>
    <row r="1008" spans="1:2" x14ac:dyDescent="0.2">
      <c r="A1008" s="4"/>
      <c r="B1008" s="4"/>
    </row>
    <row r="1009" spans="1:2" x14ac:dyDescent="0.2">
      <c r="A1009" s="4"/>
      <c r="B1009" s="4"/>
    </row>
    <row r="1010" spans="1:2" x14ac:dyDescent="0.2">
      <c r="A1010" s="4"/>
      <c r="B1010" s="4"/>
    </row>
    <row r="1011" spans="1:2" x14ac:dyDescent="0.2">
      <c r="A1011" s="4"/>
      <c r="B1011" s="4"/>
    </row>
    <row r="1012" spans="1:2" x14ac:dyDescent="0.2">
      <c r="A1012" s="4"/>
      <c r="B1012" s="4"/>
    </row>
    <row r="1013" spans="1:2" x14ac:dyDescent="0.2">
      <c r="A1013" s="4"/>
      <c r="B1013" s="4"/>
    </row>
    <row r="1014" spans="1:2" x14ac:dyDescent="0.2">
      <c r="A1014" s="4"/>
      <c r="B1014" s="4"/>
    </row>
    <row r="1015" spans="1:2" x14ac:dyDescent="0.2">
      <c r="A1015" s="4"/>
      <c r="B1015" s="4"/>
    </row>
    <row r="1016" spans="1:2" x14ac:dyDescent="0.2">
      <c r="A1016" s="4"/>
      <c r="B1016" s="4"/>
    </row>
    <row r="1017" spans="1:2" x14ac:dyDescent="0.2">
      <c r="A1017" s="4"/>
      <c r="B1017" s="4"/>
    </row>
    <row r="1018" spans="1:2" x14ac:dyDescent="0.2">
      <c r="A1018" s="4"/>
      <c r="B1018" s="4"/>
    </row>
    <row r="1019" spans="1:2" x14ac:dyDescent="0.2">
      <c r="A1019" s="4"/>
      <c r="B1019" s="4"/>
    </row>
    <row r="1020" spans="1:2" x14ac:dyDescent="0.2">
      <c r="A1020" s="4"/>
      <c r="B1020" s="4"/>
    </row>
    <row r="1021" spans="1:2" x14ac:dyDescent="0.2">
      <c r="A1021" s="4"/>
      <c r="B1021" s="4"/>
    </row>
    <row r="1022" spans="1:2" x14ac:dyDescent="0.2">
      <c r="A1022" s="4"/>
      <c r="B1022" s="4"/>
    </row>
    <row r="1023" spans="1:2" x14ac:dyDescent="0.2">
      <c r="A1023" s="4"/>
      <c r="B1023" s="4"/>
    </row>
    <row r="1024" spans="1:2" x14ac:dyDescent="0.2">
      <c r="A1024" s="4"/>
      <c r="B1024" s="4"/>
    </row>
    <row r="1025" spans="1:2" x14ac:dyDescent="0.2">
      <c r="A1025" s="4"/>
      <c r="B1025" s="4"/>
    </row>
    <row r="1026" spans="1:2" x14ac:dyDescent="0.2">
      <c r="A1026" s="4"/>
      <c r="B1026" s="4"/>
    </row>
    <row r="1027" spans="1:2" x14ac:dyDescent="0.2">
      <c r="A1027" s="4"/>
      <c r="B1027" s="4"/>
    </row>
    <row r="1028" spans="1:2" x14ac:dyDescent="0.2">
      <c r="A1028" s="4"/>
      <c r="B1028" s="4"/>
    </row>
    <row r="1029" spans="1:2" x14ac:dyDescent="0.2">
      <c r="A1029" s="4"/>
      <c r="B1029" s="4"/>
    </row>
    <row r="1030" spans="1:2" x14ac:dyDescent="0.2">
      <c r="A1030" s="4"/>
      <c r="B1030" s="4"/>
    </row>
    <row r="1031" spans="1:2" x14ac:dyDescent="0.2">
      <c r="A1031" s="4"/>
      <c r="B1031" s="4"/>
    </row>
  </sheetData>
  <autoFilter ref="A1:I31" xr:uid="{00000000-0001-0000-0000-000000000000}"/>
  <hyperlinks>
    <hyperlink ref="C2" r:id="rId1" xr:uid="{00000000-0004-0000-0000-000000000000}"/>
    <hyperlink ref="C3" r:id="rId2" xr:uid="{00000000-0004-0000-0000-000001000000}"/>
    <hyperlink ref="C4" r:id="rId3" xr:uid="{00000000-0004-0000-0000-000002000000}"/>
    <hyperlink ref="C5" r:id="rId4" xr:uid="{00000000-0004-0000-0000-000003000000}"/>
    <hyperlink ref="C7" r:id="rId5" xr:uid="{00000000-0004-0000-0000-000004000000}"/>
    <hyperlink ref="C9" r:id="rId6" xr:uid="{00000000-0004-0000-0000-000005000000}"/>
    <hyperlink ref="C13" r:id="rId7" xr:uid="{00000000-0004-0000-0000-000006000000}"/>
    <hyperlink ref="C14" r:id="rId8" xr:uid="{00000000-0004-0000-0000-000007000000}"/>
    <hyperlink ref="C15" r:id="rId9" xr:uid="{00000000-0004-0000-0000-000008000000}"/>
    <hyperlink ref="C16" r:id="rId10" xr:uid="{00000000-0004-0000-0000-000009000000}"/>
    <hyperlink ref="C18" r:id="rId11" xr:uid="{00000000-0004-0000-0000-00000A000000}"/>
    <hyperlink ref="C19" r:id="rId12" xr:uid="{00000000-0004-0000-0000-00000B000000}"/>
    <hyperlink ref="C20" r:id="rId13" xr:uid="{00000000-0004-0000-0000-00000C000000}"/>
    <hyperlink ref="C21" r:id="rId14" xr:uid="{00000000-0004-0000-0000-00000D000000}"/>
    <hyperlink ref="C27" r:id="rId15" xr:uid="{00000000-0004-0000-0000-00000E000000}"/>
    <hyperlink ref="C29" r:id="rId16" xr:uid="{00000000-0004-0000-0000-00000F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J24"/>
  <sheetViews>
    <sheetView showGridLines="0" showRowColHeaders="0" workbookViewId="0"/>
  </sheetViews>
  <sheetFormatPr defaultColWidth="12.5703125" defaultRowHeight="15.75" customHeight="1" x14ac:dyDescent="0.2"/>
  <cols>
    <col min="1" max="1" width="4" customWidth="1"/>
    <col min="2" max="2" width="38.5703125" customWidth="1"/>
    <col min="3" max="3" width="23.5703125" customWidth="1"/>
    <col min="4" max="4" width="9.42578125" customWidth="1"/>
    <col min="6" max="6" width="24.42578125" customWidth="1"/>
    <col min="8" max="8" width="23.85546875" customWidth="1"/>
  </cols>
  <sheetData>
    <row r="1" spans="2:10" x14ac:dyDescent="0.2">
      <c r="H1" s="4"/>
    </row>
    <row r="2" spans="2:10" x14ac:dyDescent="0.2">
      <c r="B2" s="19" t="s">
        <v>8</v>
      </c>
      <c r="C2" s="20" t="s">
        <v>95</v>
      </c>
      <c r="E2" s="19" t="s">
        <v>3</v>
      </c>
      <c r="F2" s="20" t="s">
        <v>95</v>
      </c>
      <c r="H2" s="15" t="s">
        <v>96</v>
      </c>
    </row>
    <row r="3" spans="2:10" x14ac:dyDescent="0.2">
      <c r="B3" s="11" t="s">
        <v>15</v>
      </c>
      <c r="C3" s="12">
        <v>18</v>
      </c>
      <c r="E3" s="11" t="s">
        <v>12</v>
      </c>
      <c r="F3" s="12">
        <v>24</v>
      </c>
      <c r="H3" s="16">
        <f>F3/F5</f>
        <v>0.8</v>
      </c>
    </row>
    <row r="4" spans="2:10" x14ac:dyDescent="0.2">
      <c r="B4" s="13" t="s">
        <v>58</v>
      </c>
      <c r="C4" s="14">
        <v>5</v>
      </c>
      <c r="E4" s="13" t="s">
        <v>68</v>
      </c>
      <c r="F4" s="14">
        <v>6</v>
      </c>
      <c r="H4" s="17"/>
    </row>
    <row r="5" spans="2:10" x14ac:dyDescent="0.2">
      <c r="B5" s="13" t="s">
        <v>78</v>
      </c>
      <c r="C5" s="14">
        <v>2</v>
      </c>
      <c r="E5" s="21" t="s">
        <v>97</v>
      </c>
      <c r="F5" s="22">
        <v>30</v>
      </c>
      <c r="H5" s="17"/>
    </row>
    <row r="6" spans="2:10" x14ac:dyDescent="0.2">
      <c r="B6" s="13" t="s">
        <v>70</v>
      </c>
      <c r="C6" s="14">
        <v>2</v>
      </c>
      <c r="H6" s="17"/>
    </row>
    <row r="7" spans="2:10" x14ac:dyDescent="0.2">
      <c r="B7" s="13" t="s">
        <v>23</v>
      </c>
      <c r="C7" s="14">
        <v>1</v>
      </c>
      <c r="E7" s="19" t="s">
        <v>4</v>
      </c>
      <c r="F7" s="20" t="s">
        <v>95</v>
      </c>
      <c r="H7" s="15" t="s">
        <v>98</v>
      </c>
    </row>
    <row r="8" spans="2:10" x14ac:dyDescent="0.2">
      <c r="B8" s="13" t="s">
        <v>92</v>
      </c>
      <c r="C8" s="14">
        <v>1</v>
      </c>
      <c r="E8" s="11" t="s">
        <v>13</v>
      </c>
      <c r="F8" s="12">
        <v>28</v>
      </c>
      <c r="H8" s="18">
        <f>F8/F11</f>
        <v>0.93333333333333335</v>
      </c>
    </row>
    <row r="9" spans="2:10" x14ac:dyDescent="0.2">
      <c r="B9" s="13" t="s">
        <v>86</v>
      </c>
      <c r="C9" s="14">
        <v>1</v>
      </c>
      <c r="E9" s="13" t="s">
        <v>82</v>
      </c>
      <c r="F9" s="14">
        <v>1</v>
      </c>
      <c r="H9" s="17"/>
    </row>
    <row r="10" spans="2:10" x14ac:dyDescent="0.2">
      <c r="B10" s="21" t="s">
        <v>97</v>
      </c>
      <c r="C10" s="22">
        <v>30</v>
      </c>
      <c r="E10" s="13" t="s">
        <v>32</v>
      </c>
      <c r="F10" s="14">
        <v>1</v>
      </c>
      <c r="H10" s="15" t="s">
        <v>99</v>
      </c>
      <c r="I10" s="9" t="s">
        <v>100</v>
      </c>
      <c r="J10" s="10"/>
    </row>
    <row r="11" spans="2:10" x14ac:dyDescent="0.2">
      <c r="E11" s="21" t="s">
        <v>97</v>
      </c>
      <c r="F11" s="22">
        <v>30</v>
      </c>
      <c r="H11" s="18">
        <f>SUM(F9:F10)/F11</f>
        <v>6.6666666666666666E-2</v>
      </c>
      <c r="I11" s="10"/>
      <c r="J11" s="10"/>
    </row>
    <row r="12" spans="2:10" x14ac:dyDescent="0.2">
      <c r="B12" s="19" t="s">
        <v>6</v>
      </c>
      <c r="C12" s="20" t="s">
        <v>95</v>
      </c>
      <c r="H12" s="17"/>
    </row>
    <row r="13" spans="2:10" x14ac:dyDescent="0.2">
      <c r="B13" s="11" t="s">
        <v>101</v>
      </c>
      <c r="C13" s="12">
        <v>23</v>
      </c>
      <c r="E13" s="4" t="s">
        <v>102</v>
      </c>
      <c r="H13" s="15" t="s">
        <v>103</v>
      </c>
    </row>
    <row r="14" spans="2:10" x14ac:dyDescent="0.2">
      <c r="B14" s="13" t="s">
        <v>104</v>
      </c>
      <c r="C14" s="14">
        <v>6</v>
      </c>
      <c r="E14" s="4" t="s">
        <v>105</v>
      </c>
      <c r="H14" s="18">
        <f>C13/C16</f>
        <v>0.76666666666666672</v>
      </c>
    </row>
    <row r="15" spans="2:10" x14ac:dyDescent="0.2">
      <c r="B15" s="13" t="s">
        <v>106</v>
      </c>
      <c r="C15" s="14">
        <v>1</v>
      </c>
      <c r="E15" s="4" t="s">
        <v>107</v>
      </c>
      <c r="H15" s="17"/>
    </row>
    <row r="16" spans="2:10" x14ac:dyDescent="0.2">
      <c r="B16" s="21" t="s">
        <v>97</v>
      </c>
      <c r="C16" s="22">
        <v>30</v>
      </c>
      <c r="H16" s="15" t="s">
        <v>108</v>
      </c>
    </row>
    <row r="17" spans="3:8" x14ac:dyDescent="0.2">
      <c r="H17" s="16">
        <f>C14/C16</f>
        <v>0.2</v>
      </c>
    </row>
    <row r="24" spans="3:8" ht="15.75" customHeight="1" x14ac:dyDescent="0.2">
      <c r="C24">
        <f>5/6</f>
        <v>0.83333333333333337</v>
      </c>
    </row>
  </sheetData>
  <mergeCells count="1">
    <mergeCell ref="I10:J11"/>
  </mergeCell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Conversations</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Prajakta Pandit</dc:creator>
  <cp:lastModifiedBy>Prajakta Pandit</cp:lastModifiedBy>
  <dcterms:created xsi:type="dcterms:W3CDTF">2026-01-20T06:15:00Z</dcterms:created>
  <dcterms:modified xsi:type="dcterms:W3CDTF">2026-01-22T20:33:33Z</dcterms:modified>
</cp:coreProperties>
</file>